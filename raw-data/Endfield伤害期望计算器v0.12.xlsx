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11"/>
  </bookViews>
  <sheets>
    <sheet name="期望1" sheetId="17" r:id="rId1"/>
    <sheet name="期望1 (2)" sheetId="19" r:id="rId2"/>
    <sheet name="干员属性" sheetId="3" r:id="rId3"/>
    <sheet name="武器属性" sheetId="7" r:id="rId4"/>
    <sheet name="护甲属性" sheetId="4" r:id="rId5"/>
    <sheet name="护手属性" sheetId="5" r:id="rId6"/>
    <sheet name="配件属性" sheetId="6" r:id="rId7"/>
    <sheet name="套装属性" sheetId="11" r:id="rId8"/>
    <sheet name="食物属性" sheetId="13" r:id="rId9"/>
    <sheet name="技能属性" sheetId="8" r:id="rId10"/>
    <sheet name="增益属性" sheetId="9" r:id="rId11"/>
    <sheet name="版本信息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<sst xmlns="http://schemas.openxmlformats.org/spreadsheetml/2006/main" count="2525" uniqueCount="777">
  <si>
    <t>干员</t>
  </si>
  <si>
    <t>主能力</t>
  </si>
  <si>
    <t>副能力</t>
  </si>
  <si>
    <t>怪物抗性</t>
  </si>
  <si>
    <t>暴击伤害</t>
  </si>
  <si>
    <t>非暴击伤害</t>
  </si>
  <si>
    <t>期望伤害</t>
  </si>
  <si>
    <t>次数</t>
  </si>
  <si>
    <t>技能名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</si>
  <si>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</si>
  <si>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</si>
  <si>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</si>
  <si>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</si>
  <si>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</si>
  <si>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</si>
  <si>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</si>
  <si>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</si>
  <si>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</si>
  <si>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</si>
  <si>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</si>
  <si>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</si>
  <si>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</si>
  <si>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</si>
  <si>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</si>
  <si>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倍率</t>
  </si>
  <si>
    <t>攻击加成</t>
  </si>
  <si>
    <t>即时攻击</t>
  </si>
  <si>
    <t>暴击</t>
  </si>
  <si>
    <t>伤害加成</t>
  </si>
  <si>
    <t>源石技艺加成</t>
  </si>
  <si>
    <t>增幅加成</t>
  </si>
  <si>
    <t>脆弱加成</t>
  </si>
  <si>
    <t>易伤加成</t>
  </si>
  <si>
    <t>失衡易伤加成</t>
  </si>
  <si>
    <t>抗性</t>
  </si>
  <si>
    <t>连击加成</t>
  </si>
  <si>
    <t>特殊加成</t>
  </si>
  <si>
    <t>弭弗0-1潜</t>
  </si>
  <si>
    <t>3层猛击</t>
  </si>
  <si>
    <t>旧锋3层翻倍</t>
  </si>
  <si>
    <t>弭弗连携脆弱0潜</t>
  </si>
  <si>
    <t>弭弗专武+强度0潜</t>
  </si>
  <si>
    <t>弭弗专武+物伤3层0潜</t>
  </si>
  <si>
    <t>N/a</t>
  </si>
  <si>
    <t>武器</t>
  </si>
  <si>
    <t>力量</t>
  </si>
  <si>
    <t>弭弗战技二(0-4潜)</t>
  </si>
  <si>
    <t>赤缨0潜</t>
  </si>
  <si>
    <t>敏捷</t>
  </si>
  <si>
    <t>轴长</t>
  </si>
  <si>
    <t>弭弗战技三(0-4潜)</t>
  </si>
  <si>
    <t>护甲</t>
  </si>
  <si>
    <t>智识</t>
  </si>
  <si>
    <t>旧锋装甲3锻</t>
  </si>
  <si>
    <t>意志</t>
  </si>
  <si>
    <t>总伤</t>
  </si>
  <si>
    <t>弭弗连携</t>
  </si>
  <si>
    <t>护手</t>
  </si>
  <si>
    <t>基础攻击</t>
  </si>
  <si>
    <t>弭弗大招</t>
  </si>
  <si>
    <t>旧锋手甲3锻</t>
  </si>
  <si>
    <t>攻击力加成</t>
  </si>
  <si>
    <t>倒地/击飞</t>
  </si>
  <si>
    <t>配件一</t>
  </si>
  <si>
    <t>能力值加成</t>
  </si>
  <si>
    <t>DPS</t>
  </si>
  <si>
    <t>旧锋刺刃3锻</t>
  </si>
  <si>
    <t>配件二</t>
  </si>
  <si>
    <t>点剑定位信标3锻</t>
  </si>
  <si>
    <t>源石技艺</t>
  </si>
  <si>
    <t>套装</t>
  </si>
  <si>
    <t>终结技充能</t>
  </si>
  <si>
    <t>旧锋</t>
  </si>
  <si>
    <t>物理加成</t>
  </si>
  <si>
    <t>食物</t>
  </si>
  <si>
    <t>灼热加成</t>
  </si>
  <si>
    <t>清炖兽排参须汤</t>
  </si>
  <si>
    <t>电磁加成</t>
  </si>
  <si>
    <t>寒冷加成</t>
  </si>
  <si>
    <t>自然加成</t>
  </si>
  <si>
    <t>失衡加成</t>
  </si>
  <si>
    <t>普攻加成</t>
  </si>
  <si>
    <t>战技加成</t>
  </si>
  <si>
    <t>连携技加成</t>
  </si>
  <si>
    <t>终结技加成</t>
  </si>
  <si>
    <t>主属性加成</t>
  </si>
  <si>
    <t>副属性加成</t>
  </si>
  <si>
    <t>额外固定攻击</t>
  </si>
  <si>
    <t>幻想苦痛3层5潜</t>
  </si>
  <si>
    <t>幻想痛苦5潜</t>
  </si>
  <si>
    <t>攻击</t>
  </si>
  <si>
    <t>源石技艺强度</t>
  </si>
  <si>
    <t>终结技充能效率</t>
  </si>
  <si>
    <t>主属性</t>
  </si>
  <si>
    <t>副属性</t>
  </si>
  <si>
    <t>副能力一</t>
  </si>
  <si>
    <t>副能力二</t>
  </si>
  <si>
    <t>副能力三</t>
  </si>
  <si>
    <t>特殊能力值加成</t>
  </si>
  <si>
    <t>管理员2潜</t>
  </si>
  <si>
    <t>黎风0-1潜</t>
  </si>
  <si>
    <t>黎风2潜</t>
  </si>
  <si>
    <t>黎风3+潜</t>
  </si>
  <si>
    <t>莱万汀0-1潜</t>
  </si>
  <si>
    <t>莱万汀2+潜</t>
  </si>
  <si>
    <t>余烬0潜</t>
  </si>
  <si>
    <t>余烬5潜</t>
  </si>
  <si>
    <t>洁尔佩塔0潜</t>
  </si>
  <si>
    <t>洁尔佩塔5潜</t>
  </si>
  <si>
    <t>艾尔黛拉</t>
  </si>
  <si>
    <t>骏卫0-1潜</t>
  </si>
  <si>
    <t>骏卫2+潜</t>
  </si>
  <si>
    <t>伊冯0-1潜</t>
  </si>
  <si>
    <t>伊冯2+潜</t>
  </si>
  <si>
    <t>别礼0-1潜</t>
  </si>
  <si>
    <t>别礼2+潜</t>
  </si>
  <si>
    <t>汤汤0-1潜</t>
  </si>
  <si>
    <t>汤汤2+潜</t>
  </si>
  <si>
    <t>洛茜0-1潜</t>
  </si>
  <si>
    <t>洛茜2+潜</t>
  </si>
  <si>
    <t>庄方宜0-1潜</t>
  </si>
  <si>
    <t>庄方宜2+潜</t>
  </si>
  <si>
    <t>弭弗2+潜</t>
  </si>
  <si>
    <t>陈千语5潜</t>
  </si>
  <si>
    <t>大潘5潜</t>
  </si>
  <si>
    <t>狼卫</t>
  </si>
  <si>
    <t>弧光</t>
  </si>
  <si>
    <t>佩丽卡</t>
  </si>
  <si>
    <t>赛希</t>
  </si>
  <si>
    <t>安塔尔</t>
  </si>
  <si>
    <t>艾维文娜</t>
  </si>
  <si>
    <t>昼雪</t>
  </si>
  <si>
    <t>秋栗</t>
  </si>
  <si>
    <t>卡契尔</t>
  </si>
  <si>
    <t>埃特拉</t>
  </si>
  <si>
    <t>萤石</t>
  </si>
  <si>
    <t>阿列什</t>
  </si>
  <si>
    <t>宏愿0潜</t>
  </si>
  <si>
    <t>宏愿5潜</t>
  </si>
  <si>
    <t>熔铸火焰0潜</t>
  </si>
  <si>
    <t>熔铸火焰5潜</t>
  </si>
  <si>
    <t>扶摇0潜</t>
  </si>
  <si>
    <t>扶摇5潜</t>
  </si>
  <si>
    <t>不知归0潜</t>
  </si>
  <si>
    <t>不知归5潜</t>
  </si>
  <si>
    <t>热熔切割器0潜</t>
  </si>
  <si>
    <t>热熔切割器5潜</t>
  </si>
  <si>
    <t>钢铁余音5潜</t>
  </si>
  <si>
    <t>遗忘0潜</t>
  </si>
  <si>
    <t>遗忘5潜</t>
  </si>
  <si>
    <t>骑士精神0潜</t>
  </si>
  <si>
    <t>骑士精神5潜</t>
  </si>
  <si>
    <t>爆破单元0潜</t>
  </si>
  <si>
    <t>爆破单元5潜</t>
  </si>
  <si>
    <t>使命必达0潜</t>
  </si>
  <si>
    <t>使命必达5潜</t>
  </si>
  <si>
    <t>沧溟星梦0潜</t>
  </si>
  <si>
    <t>沧溟星梦5潜</t>
  </si>
  <si>
    <t>悼亡诗5潜</t>
  </si>
  <si>
    <t>典范0潜</t>
  </si>
  <si>
    <t>典范5潜</t>
  </si>
  <si>
    <t>赫拉芬格0潜</t>
  </si>
  <si>
    <t>赫拉芬格5潜</t>
  </si>
  <si>
    <t>骁勇0潜</t>
  </si>
  <si>
    <t>骁勇5潜</t>
  </si>
  <si>
    <t>负山0潜</t>
  </si>
  <si>
    <t>负山5潜</t>
  </si>
  <si>
    <t>艺术暴君0潜</t>
  </si>
  <si>
    <t>艺术暴君5潜</t>
  </si>
  <si>
    <t>落草0潜</t>
  </si>
  <si>
    <t>落草5潜</t>
  </si>
  <si>
    <t>狼之绯0潜</t>
  </si>
  <si>
    <t>狼之绯5潜</t>
  </si>
  <si>
    <t>光荣记忆0潜</t>
  </si>
  <si>
    <t>光荣记忆5潜</t>
  </si>
  <si>
    <t>孤舟0潜</t>
  </si>
  <si>
    <t>孤舟5潜</t>
  </si>
  <si>
    <t>赤缨5潜</t>
  </si>
  <si>
    <t>点剑重装甲0锻</t>
  </si>
  <si>
    <t>点剑重装甲3锻</t>
  </si>
  <si>
    <t>点剑重装甲·壹型0锻</t>
  </si>
  <si>
    <t>点剑重装甲·壹型3锻</t>
  </si>
  <si>
    <t>点剑轻装甲0锻</t>
  </si>
  <si>
    <t>点剑轻装甲3锻</t>
  </si>
  <si>
    <t>点剑纤维护甲0锻</t>
  </si>
  <si>
    <t>点剑纤维护甲3锻</t>
  </si>
  <si>
    <t>落潮轻甲0锻</t>
  </si>
  <si>
    <t>落潮轻甲3锻</t>
  </si>
  <si>
    <t>M.I.警用罩衣0锻</t>
  </si>
  <si>
    <t>M.I.警用罩衣3锻</t>
  </si>
  <si>
    <t>M.I.警用罩衣·壹型0锻</t>
  </si>
  <si>
    <t>M.I.警用罩衣·壹型3锻</t>
  </si>
  <si>
    <t>M.I.警用罩衣·贰型0锻</t>
  </si>
  <si>
    <t>M.I.警用罩衣·贰型3锻</t>
  </si>
  <si>
    <t>M.I.警用护甲0锻</t>
  </si>
  <si>
    <t>M.I.警用护甲3锻</t>
  </si>
  <si>
    <t>M.I.警用护甲·壹型0锻</t>
  </si>
  <si>
    <t>M.I.警用护甲·壹型3锻</t>
  </si>
  <si>
    <t>拓荒护甲0锻</t>
  </si>
  <si>
    <t>拓荒护甲3锻</t>
  </si>
  <si>
    <t>拓荒护甲·壹型0锻</t>
  </si>
  <si>
    <t>拓荒护甲·壹型3锻</t>
  </si>
  <si>
    <t>拓荒护甲·贰型0锻</t>
  </si>
  <si>
    <t>拓荒护甲·贰型3锻</t>
  </si>
  <si>
    <t>拓荒护甲·叁型0锻</t>
  </si>
  <si>
    <t>拓荒护甲·叁型3锻</t>
  </si>
  <si>
    <t>拓荒护服0锻</t>
  </si>
  <si>
    <t>拓荒护服3锻</t>
  </si>
  <si>
    <t>脉冲式干扰服0锻</t>
  </si>
  <si>
    <t>脉冲式干扰服3锻</t>
  </si>
  <si>
    <t>50式应龙轻甲0锻</t>
  </si>
  <si>
    <t>50式应龙轻甲3锻</t>
  </si>
  <si>
    <t>50式应龙重甲0锻</t>
  </si>
  <si>
    <t>50式应龙重甲3锻</t>
  </si>
  <si>
    <t>50式应龙重甲·壹型0锻</t>
  </si>
  <si>
    <t>50式应龙重甲·壹型3锻</t>
  </si>
  <si>
    <t>50式应龙重甲·贰型0锻</t>
  </si>
  <si>
    <t>50式应龙重甲·贰型3锻</t>
  </si>
  <si>
    <t>生物辅助胸甲0锻</t>
  </si>
  <si>
    <t>生物辅助胸甲3锻</t>
  </si>
  <si>
    <t>生物辅助重甲0锻</t>
  </si>
  <si>
    <t>碾骨重护甲0锻</t>
  </si>
  <si>
    <t>碾骨重护甲3锻</t>
  </si>
  <si>
    <t>碾骨重护甲·壹型0锻</t>
  </si>
  <si>
    <t>碾骨重护甲·壹型3锻</t>
  </si>
  <si>
    <t>碾骨重护甲·贰型0锻</t>
  </si>
  <si>
    <t>碾骨重护甲·贰型3锻</t>
  </si>
  <si>
    <t>碾骨披巾0锻</t>
  </si>
  <si>
    <t>碾骨披巾3锻</t>
  </si>
  <si>
    <t>碾骨披巾·壹型0锻</t>
  </si>
  <si>
    <t>碾骨披巾·壹型3锻</t>
  </si>
  <si>
    <t>轻超域护板0锻</t>
  </si>
  <si>
    <t>轻超域护板3锻</t>
  </si>
  <si>
    <t>动火用外骨骼0锻</t>
  </si>
  <si>
    <t>动火用外骨骼3锻</t>
  </si>
  <si>
    <t>动火用辅助骨骼0锻</t>
  </si>
  <si>
    <t>动火用辅助骨骼3锻</t>
  </si>
  <si>
    <t>长息装甲0锻</t>
  </si>
  <si>
    <t>长息装甲3锻</t>
  </si>
  <si>
    <t>纾难重甲0锻</t>
  </si>
  <si>
    <t>纾难重甲3锻</t>
  </si>
  <si>
    <t>纾难护甲0锻</t>
  </si>
  <si>
    <t>纾难护甲3锻</t>
  </si>
  <si>
    <t>壤流轻甲0锻</t>
  </si>
  <si>
    <t>壤流轻甲3锻</t>
  </si>
  <si>
    <t>清波重甲0锻</t>
  </si>
  <si>
    <t>清波重甲3锻</t>
  </si>
  <si>
    <t>清波轻甲0锻</t>
  </si>
  <si>
    <t>清波轻甲3锻</t>
  </si>
  <si>
    <t>旧锋装甲0锻</t>
  </si>
  <si>
    <t>旧锋装甲·壹型0锻</t>
  </si>
  <si>
    <t>旧锋装甲·壹型3锻</t>
  </si>
  <si>
    <t>轻超域护手0锻</t>
  </si>
  <si>
    <t>轻超域护手3锻</t>
  </si>
  <si>
    <t>轻超域轻护手0锻</t>
  </si>
  <si>
    <t>轻超域轻护手3锻</t>
  </si>
  <si>
    <t>动火用手甲0锻</t>
  </si>
  <si>
    <t>动火用手甲3锻</t>
  </si>
  <si>
    <t>动火用手甲·壹型0锻</t>
  </si>
  <si>
    <t>动火用手甲·壹型3锻</t>
  </si>
  <si>
    <t>动火用手套0锻</t>
  </si>
  <si>
    <t>动火用手套3锻</t>
  </si>
  <si>
    <t>M.I.警用手环0锻</t>
  </si>
  <si>
    <t>M.I.警用手环3锻</t>
  </si>
  <si>
    <t>M.I.警用手环·壹型0锻</t>
  </si>
  <si>
    <t>M.I.警用手环·壹型3锻</t>
  </si>
  <si>
    <t>M.I.警用手套0锻</t>
  </si>
  <si>
    <t>M.I.警用手套3锻</t>
  </si>
  <si>
    <t>M.I.警用手套·壹型0锻</t>
  </si>
  <si>
    <t>M.I.警用手套·壹型3锻</t>
  </si>
  <si>
    <t>长息护手0锻</t>
  </si>
  <si>
    <t>长息护手3锻</t>
  </si>
  <si>
    <t>长息护手·壹型0锻</t>
  </si>
  <si>
    <t>长息护手·壹型3锻</t>
  </si>
  <si>
    <t>点剑战术手套0锻</t>
  </si>
  <si>
    <t>点剑战术手套3锻</t>
  </si>
  <si>
    <t>点剑战术手甲0锻</t>
  </si>
  <si>
    <t>点剑战术手甲3锻</t>
  </si>
  <si>
    <t>点剑战术手甲·壹型0锻</t>
  </si>
  <si>
    <t>点剑战术手甲·壹型3锻</t>
  </si>
  <si>
    <t>生物辅助手甲0锻</t>
  </si>
  <si>
    <t>生物辅助手甲3锻</t>
  </si>
  <si>
    <t>生物辅助臂甲0锻</t>
  </si>
  <si>
    <t>生物辅助臂甲3锻</t>
  </si>
  <si>
    <t>50式应龙护手0锻</t>
  </si>
  <si>
    <t>50式应龙护手3锻</t>
  </si>
  <si>
    <t>50式应龙护手·壹型0锻</t>
  </si>
  <si>
    <t>50式应龙护手·壹型3锻</t>
  </si>
  <si>
    <t>脉冲式手套0锻</t>
  </si>
  <si>
    <t>脉冲式手套3锻</t>
  </si>
  <si>
    <t>拓荒耐蚀手套0锻</t>
  </si>
  <si>
    <t>拓荒耐蚀手套3锻</t>
  </si>
  <si>
    <t>拓荒纤维手套0锻</t>
  </si>
  <si>
    <t>拓荒纤维手套3锻</t>
  </si>
  <si>
    <t>拓荒纤维手套·壹型0锻</t>
  </si>
  <si>
    <t>拓荒纤维手套·壹型3锻</t>
  </si>
  <si>
    <t>潮涌手甲0锻</t>
  </si>
  <si>
    <t>潮涌手甲3锻</t>
  </si>
  <si>
    <t>蚀电屏蔽手套·壹型(智力)</t>
  </si>
  <si>
    <t>蚀电防护手套·壹型(意敏)</t>
  </si>
  <si>
    <t>巡行信使手套·壹型(敏力)</t>
  </si>
  <si>
    <t>重装信使手套·壹型(力敏)</t>
  </si>
  <si>
    <t>碾骨腕带0锻</t>
  </si>
  <si>
    <t>碾骨腕带3锻</t>
  </si>
  <si>
    <t>碾骨腕带·壹型0锻</t>
  </si>
  <si>
    <t>碾骨腕带·壹型3锻</t>
  </si>
  <si>
    <t>碾骨手套0锻</t>
  </si>
  <si>
    <t>碾骨手套3锻</t>
  </si>
  <si>
    <t>纾难护手0锻</t>
  </si>
  <si>
    <t>纾难护手3锻</t>
  </si>
  <si>
    <t>纾难手套0锻</t>
  </si>
  <si>
    <t>纾难手套3锻</t>
  </si>
  <si>
    <t>壤流护手0锻</t>
  </si>
  <si>
    <t>壤流护手3锻</t>
  </si>
  <si>
    <t>清波手甲0锻</t>
  </si>
  <si>
    <t>清波手甲3锻</t>
  </si>
  <si>
    <t>清波护手0锻</t>
  </si>
  <si>
    <t>清波护手3锻</t>
  </si>
  <si>
    <t>旧锋手甲0锻</t>
  </si>
  <si>
    <t>旧锋手甲·壹型0锻</t>
  </si>
  <si>
    <t>旧锋手甲·壹型3锻</t>
  </si>
  <si>
    <t>点剑火石0锻</t>
  </si>
  <si>
    <t>点剑火石3锻</t>
  </si>
  <si>
    <t>点剑定位信标0锻</t>
  </si>
  <si>
    <t>点剑微型滤芯0锻</t>
  </si>
  <si>
    <t>点剑微型滤芯3锻</t>
  </si>
  <si>
    <t>点剑短刃0锻</t>
  </si>
  <si>
    <t>点剑短刃3锻</t>
  </si>
  <si>
    <t>生物辅助护板0锻</t>
  </si>
  <si>
    <t>生物辅助护板3锻</t>
  </si>
  <si>
    <t>生物辅助接驳器0锻</t>
  </si>
  <si>
    <t>生物辅助接驳器3锻</t>
  </si>
  <si>
    <t>生物辅助接驳器·壹型0锻</t>
  </si>
  <si>
    <t>生物辅助接驳器·壹型3锻</t>
  </si>
  <si>
    <t>生物辅助接驳器·贰型0锻</t>
  </si>
  <si>
    <t>生物辅助接驳器·贰型3锻</t>
  </si>
  <si>
    <t>生物辅助护盾针0锻</t>
  </si>
  <si>
    <t>生物辅助护盾针3锻</t>
  </si>
  <si>
    <t>动火用测温镜0锻</t>
  </si>
  <si>
    <t>动火用测温镜3锻</t>
  </si>
  <si>
    <t>动火用储能匣0锻</t>
  </si>
  <si>
    <t>动火用储能匣3锻</t>
  </si>
  <si>
    <t>动火用电力匣0锻</t>
  </si>
  <si>
    <t>动火用电力匣3锻</t>
  </si>
  <si>
    <t>M.I.警用工具组0锻</t>
  </si>
  <si>
    <t>M.I.警用工具组3锻</t>
  </si>
  <si>
    <t>M.I.警用刺刃0锻</t>
  </si>
  <si>
    <t>M.I.警用刺刃3锻</t>
  </si>
  <si>
    <t>M.I.警用刺刃·壹型0锻</t>
  </si>
  <si>
    <t>M.I.警用刺刃·壹型3锻</t>
  </si>
  <si>
    <t>M.I.警用臂环0锻</t>
  </si>
  <si>
    <t>M.I.警用臂环3锻</t>
  </si>
  <si>
    <t>M.I.警用瞄具0锻</t>
  </si>
  <si>
    <t>M.I.警用瞄具3锻</t>
  </si>
  <si>
    <t>M.I.警用瞄具·壹型0锻</t>
  </si>
  <si>
    <t>M.I.警用瞄具·壹型3锻</t>
  </si>
  <si>
    <t>纾难印章0锻</t>
  </si>
  <si>
    <t>纾难印章3锻</t>
  </si>
  <si>
    <t>纾难印章·壹型0锻</t>
  </si>
  <si>
    <t>纾难印章·壹型3锻</t>
  </si>
  <si>
    <t>纾难识别牌0锻</t>
  </si>
  <si>
    <t>纾难识别牌3锻</t>
  </si>
  <si>
    <t>纾难识别牌·壹型0锻</t>
  </si>
  <si>
    <t>纾难识别牌·壹型3锻</t>
  </si>
  <si>
    <t>长息蓄电核0锻</t>
  </si>
  <si>
    <t>长息蓄电核3锻</t>
  </si>
  <si>
    <t>长息蓄电核·壹型0锻</t>
  </si>
  <si>
    <t>长息蓄电核·壹型3锻</t>
  </si>
  <si>
    <t>长息辅助臂0锻</t>
  </si>
  <si>
    <t>长息辅助臂3锻</t>
  </si>
  <si>
    <t>碾骨面具0锻</t>
  </si>
  <si>
    <t>碾骨面具3锻</t>
  </si>
  <si>
    <t>碾骨面具·壹型0锻</t>
  </si>
  <si>
    <t>碾骨面具·壹型3锻</t>
  </si>
  <si>
    <t>碾骨面具·贰型0锻</t>
  </si>
  <si>
    <t>碾骨面具·贰型3锻</t>
  </si>
  <si>
    <t>碾骨小雕像0锻</t>
  </si>
  <si>
    <t>碾骨小雕像3锻</t>
  </si>
  <si>
    <t>碾骨小雕像·壹型0锻</t>
  </si>
  <si>
    <t>碾骨小雕像·壹型3锻</t>
  </si>
  <si>
    <t>碾骨小雕像·贰型0锻</t>
  </si>
  <si>
    <t>碾骨小雕像·贰型3锻</t>
  </si>
  <si>
    <t>轻超域分析环0锻</t>
  </si>
  <si>
    <t>轻超域分析环3锻</t>
  </si>
  <si>
    <t>轻超域稳定盘0锻</t>
  </si>
  <si>
    <t>轻超域稳定盘3锻</t>
  </si>
  <si>
    <t>轻超域稳定盘·壹型0锻</t>
  </si>
  <si>
    <t>轻超域稳定盘·壹型3锻</t>
  </si>
  <si>
    <t>轻超域腕表0锻</t>
  </si>
  <si>
    <t>轻超域腕表3锻</t>
  </si>
  <si>
    <t>拓荒通信器0锻</t>
  </si>
  <si>
    <t>拓荒通信器3锻</t>
  </si>
  <si>
    <t>拓荒通信器·壹型0锻</t>
  </si>
  <si>
    <t>拓荒通信器·壹型3锻</t>
  </si>
  <si>
    <t>拓荒增量供氧栓0锻</t>
  </si>
  <si>
    <t>拓荒增量供氧栓3锻</t>
  </si>
  <si>
    <t>拓荒增量供氧栓·壹型0锻</t>
  </si>
  <si>
    <t>拓荒增量供氧栓·壹型3锻</t>
  </si>
  <si>
    <t>拓荒分析仪0锻</t>
  </si>
  <si>
    <t>拓荒分析仪3锻</t>
  </si>
  <si>
    <t>拓荒供氧栓0锻</t>
  </si>
  <si>
    <t>拓荒供氧栓3锻</t>
  </si>
  <si>
    <t>脉冲式校准器0锻</t>
  </si>
  <si>
    <t>脉冲式校准器3锻</t>
  </si>
  <si>
    <t>脉冲式探针0锻</t>
  </si>
  <si>
    <t>脉冲式探针3锻</t>
  </si>
  <si>
    <t>脉冲式侵入核0锻</t>
  </si>
  <si>
    <t>脉冲式侵入核3锻</t>
  </si>
  <si>
    <t>50式应龙雷达0锻</t>
  </si>
  <si>
    <t>50式应龙雷达3锻</t>
  </si>
  <si>
    <t>50式应龙雷达·壹型0锻</t>
  </si>
  <si>
    <t>50式应龙雷达·壹型3锻</t>
  </si>
  <si>
    <t>50式应龙雷达·贰型0锻</t>
  </si>
  <si>
    <t>50式应龙雷达·贰型3锻</t>
  </si>
  <si>
    <t>50式应龙短刃0锻</t>
  </si>
  <si>
    <t>50式应龙短刃3锻</t>
  </si>
  <si>
    <t>50式应龙短刃·壹型0锻</t>
  </si>
  <si>
    <t>50式应龙短刃·壹型3锻</t>
  </si>
  <si>
    <t>悬河供氧栓0锻</t>
  </si>
  <si>
    <t>悬河供氧栓3锻</t>
  </si>
  <si>
    <t>浊流切割炬0锻</t>
  </si>
  <si>
    <t>浊流切割炬3锻</t>
  </si>
  <si>
    <t>壤流短棍0锻</t>
  </si>
  <si>
    <t>壤流短棍3锻</t>
  </si>
  <si>
    <t>清波定位仪0锻</t>
  </si>
  <si>
    <t>清波定位仪3锻</t>
  </si>
  <si>
    <t>清波定位仪·壹型0锻</t>
  </si>
  <si>
    <t>清波定位仪·壹型3锻</t>
  </si>
  <si>
    <t>清波竹刃0锻</t>
  </si>
  <si>
    <t>清波竹刃3锻</t>
  </si>
  <si>
    <t>清波水罐0锻</t>
  </si>
  <si>
    <t>清波水罐3锻</t>
  </si>
  <si>
    <t>旧锋刺刃0锻</t>
  </si>
  <si>
    <t>旧锋刺刃·壹型0锻</t>
  </si>
  <si>
    <t>旧锋刺刃·壹型3锻</t>
  </si>
  <si>
    <t>动火用</t>
  </si>
  <si>
    <t>脉冲式</t>
  </si>
  <si>
    <t>M.I.警用</t>
  </si>
  <si>
    <t>应龙</t>
  </si>
  <si>
    <t>碾骨</t>
  </si>
  <si>
    <t>潮涌</t>
  </si>
  <si>
    <t>轻超域</t>
  </si>
  <si>
    <t>壤流</t>
  </si>
  <si>
    <t>雅各布的遗产</t>
  </si>
  <si>
    <t>额外暴击</t>
  </si>
  <si>
    <t>额外暴击伤害</t>
  </si>
  <si>
    <t>技能类型</t>
  </si>
  <si>
    <t>失衡</t>
  </si>
  <si>
    <t>4层猛击</t>
  </si>
  <si>
    <t>无</t>
  </si>
  <si>
    <t>4层猛击(失衡)</t>
  </si>
  <si>
    <t>3层猛击(失衡)</t>
  </si>
  <si>
    <t>2层猛击</t>
  </si>
  <si>
    <t>1层碎冰</t>
  </si>
  <si>
    <t>1层导电</t>
  </si>
  <si>
    <t>寒冷法术爆发</t>
  </si>
  <si>
    <t>管理员普攻</t>
  </si>
  <si>
    <t>管理员普攻(失衡)</t>
  </si>
  <si>
    <t>管理员处决</t>
  </si>
  <si>
    <t>管理员连携9级</t>
  </si>
  <si>
    <t>管理员连携9级(失衡)</t>
  </si>
  <si>
    <t>管理员连携专3</t>
  </si>
  <si>
    <t>管理员水晶9级(连携加成)</t>
  </si>
  <si>
    <t>管理员水晶9级(连携加成+失衡)</t>
  </si>
  <si>
    <t>管理员水晶专3(连携加成)</t>
  </si>
  <si>
    <t>管理员战技9级</t>
  </si>
  <si>
    <t>管理员战技9级(连击)</t>
  </si>
  <si>
    <t>管理员战技9级(连击+失衡)</t>
  </si>
  <si>
    <t>管理员战技专3</t>
  </si>
  <si>
    <t>管理员大招9级</t>
  </si>
  <si>
    <t>管理员大招额外伤害9级</t>
  </si>
  <si>
    <t>管理员大招9级(连击)</t>
  </si>
  <si>
    <t>管理员大招额外伤害9级(连击)</t>
  </si>
  <si>
    <t>点剑</t>
  </si>
  <si>
    <t>点剑(失衡)</t>
  </si>
  <si>
    <t>莱万汀专3大招普攻(1-4)0潜</t>
  </si>
  <si>
    <t>莱万汀专3大招战技一段0潜</t>
  </si>
  <si>
    <t>莱万汀专3大招战技二段0潜</t>
  </si>
  <si>
    <t>莱万汀专3大招战技追加0潜</t>
  </si>
  <si>
    <t>莱万汀专3普通战技0潜</t>
  </si>
  <si>
    <t>莱万汀专3普通战技追加0潜</t>
  </si>
  <si>
    <t>莱万汀9级连携</t>
  </si>
  <si>
    <t>莱万汀9级普攻(1-5)</t>
  </si>
  <si>
    <t>莱万汀9级处决</t>
  </si>
  <si>
    <t>莱万汀燃烧0潜</t>
  </si>
  <si>
    <t>荡浊身一段(黎风战技专3)</t>
  </si>
  <si>
    <t>荡浊身二段(黎风战技专3)</t>
  </si>
  <si>
    <t>荡浊身三段(黎风战技专3)</t>
  </si>
  <si>
    <t>荡浊身一段(黎风战技专3+失衡)</t>
  </si>
  <si>
    <t>荡浊身二段(黎风战技专3+失衡)</t>
  </si>
  <si>
    <t>荡浊身三段(黎风战技专3+失衡)</t>
  </si>
  <si>
    <t>黎风9级普攻(失衡)</t>
  </si>
  <si>
    <t>黎风专3大招(连击+失衡)</t>
  </si>
  <si>
    <t>倒地/击飞(失衡)</t>
  </si>
  <si>
    <t>伏魔(黎风天赋)+(失衡)</t>
  </si>
  <si>
    <t>忿怒相9级(失衡)</t>
  </si>
  <si>
    <t>伊冯大招平射专3</t>
  </si>
  <si>
    <t>伊冯大招重击专3</t>
  </si>
  <si>
    <t>伊冯大招追加专3</t>
  </si>
  <si>
    <t>伊冯战技1层专3</t>
  </si>
  <si>
    <t>伊冯战技2层专3</t>
  </si>
  <si>
    <t>伊冯战技3层专3</t>
  </si>
  <si>
    <t>伊冯普攻专3</t>
  </si>
  <si>
    <t>伊冯重击专3</t>
  </si>
  <si>
    <t>伊冯连携能量专3</t>
  </si>
  <si>
    <t>伊冯连携爆炸专3</t>
  </si>
  <si>
    <t>别礼连携4层</t>
  </si>
  <si>
    <t>别礼大招</t>
  </si>
  <si>
    <t>别礼战技幻影0潜</t>
  </si>
  <si>
    <t>埃特拉战技9级</t>
  </si>
  <si>
    <t>埃特拉连携专1(冻结)</t>
  </si>
  <si>
    <t>埃特拉连携专3(冻结)</t>
  </si>
  <si>
    <t>埃特拉大招专1</t>
  </si>
  <si>
    <t>埃特拉大招专3</t>
  </si>
  <si>
    <t>骁勇特效0潜</t>
  </si>
  <si>
    <t>骁勇特效5潜</t>
  </si>
  <si>
    <t>水龙卷专3</t>
  </si>
  <si>
    <t>汤汤战技专3</t>
  </si>
  <si>
    <t>汤汤连携专3</t>
  </si>
  <si>
    <t>汤汤大招巨浪专3</t>
  </si>
  <si>
    <t>汤汤大招持续每跳专3</t>
  </si>
  <si>
    <t>洛茜战技专3基础0潜</t>
  </si>
  <si>
    <t>洛茜战技专3额外0潜</t>
  </si>
  <si>
    <t>洛茜战技专3基础1+潜</t>
  </si>
  <si>
    <t>洛茜战技专3额外1+潜</t>
  </si>
  <si>
    <t>洛茜连携专3一段0潜</t>
  </si>
  <si>
    <t>洛茜连携专3二段0潜</t>
  </si>
  <si>
    <t>洛茜连携专3附着转化每层0潜</t>
  </si>
  <si>
    <t>洛茜连携专3一段1+潜</t>
  </si>
  <si>
    <t>洛茜连携专3二段1+潜</t>
  </si>
  <si>
    <t>洛茜连携专3附着转化每层1+潜</t>
  </si>
  <si>
    <t>洛茜大招专3戳击0-4潜</t>
  </si>
  <si>
    <t>洛茜大招专3斩击0-4潜</t>
  </si>
  <si>
    <t>洛茜大招专3戳击5潜单下</t>
  </si>
  <si>
    <t>洛茜大招专3戳击5潜</t>
  </si>
  <si>
    <t>洛茜大招专3斩击一5潜</t>
  </si>
  <si>
    <t>洛茜大招专3斩击二5潜</t>
  </si>
  <si>
    <t>洛茜天赋沸血0-2潜</t>
  </si>
  <si>
    <t>洛茜天赋沸血3潜</t>
  </si>
  <si>
    <t>洛茜天赋沸血0-2潜(燃烧加成)</t>
  </si>
  <si>
    <t>洛茜天赋沸血3潜(燃烧加成)</t>
  </si>
  <si>
    <t>洛茜战技DOT</t>
  </si>
  <si>
    <t>洛茜普攻专3</t>
  </si>
  <si>
    <t>洛茜普攻一</t>
  </si>
  <si>
    <t>洛茜普攻二每段</t>
  </si>
  <si>
    <t>庄方宜1导电前置剑0潜专3</t>
  </si>
  <si>
    <t>庄方宜1导电终剑0潜专3</t>
  </si>
  <si>
    <t>庄方宜1导电强化前置剑0潜专3</t>
  </si>
  <si>
    <t>庄方宜1导电强化终剑0潜专3</t>
  </si>
  <si>
    <t>庄方宜2导电强化前置剑0潜专3</t>
  </si>
  <si>
    <t>庄方宜2导电强化终剑0潜专3</t>
  </si>
  <si>
    <t>庄方宜3导电强化前置剑0潜专3</t>
  </si>
  <si>
    <t>庄方宜3导电强化终剑0潜专3</t>
  </si>
  <si>
    <t>庄方宜1导电前置剑1潜专3</t>
  </si>
  <si>
    <t>庄方宜1导电终剑1潜专3</t>
  </si>
  <si>
    <t>庄方宜1导电强化前置剑1潜专3</t>
  </si>
  <si>
    <t>庄方宜1导电强化终剑1潜专3</t>
  </si>
  <si>
    <t>庄方宜2导电强化前置剑1潜专3</t>
  </si>
  <si>
    <t>庄方宜2导电强化终剑1潜专3</t>
  </si>
  <si>
    <t>庄方宜3导电强化前置剑1潜专3</t>
  </si>
  <si>
    <t>庄方宜3导电强化终剑1潜专3</t>
  </si>
  <si>
    <t>庄方宜连携专3</t>
  </si>
  <si>
    <t>庄方宜大招普攻专3</t>
  </si>
  <si>
    <t>庄方宜大招普攻一段专3</t>
  </si>
  <si>
    <t>庄方宜大招普攻二段专3</t>
  </si>
  <si>
    <t>庄方宜大招普攻三段专3</t>
  </si>
  <si>
    <t>庄方宜0导电强化前置剑1潜专3</t>
  </si>
  <si>
    <t>庄方宜0导电终剑1潜专3</t>
  </si>
  <si>
    <t>庄方宜普攻专3</t>
  </si>
  <si>
    <t>弭弗战技二(5潜)</t>
  </si>
  <si>
    <t>弭弗战技三(5潜)</t>
  </si>
  <si>
    <t>技能加成</t>
  </si>
  <si>
    <t>能力加成</t>
  </si>
  <si>
    <t>说明</t>
  </si>
  <si>
    <t>不知归0潜队友1层</t>
  </si>
  <si>
    <t>不知归5潜队友5层</t>
  </si>
  <si>
    <t>热熔切割器0潜1层</t>
  </si>
  <si>
    <t>热熔切割器0潜2层</t>
  </si>
  <si>
    <t>热熔切割器5潜1层</t>
  </si>
  <si>
    <t>热熔切割器5潜2层</t>
  </si>
  <si>
    <t>钢铁余音5潜1层</t>
  </si>
  <si>
    <t>钢铁余音5潜2层</t>
  </si>
  <si>
    <t>遗忘0潜大招触发</t>
  </si>
  <si>
    <t>遗忘5潜大招触发</t>
  </si>
  <si>
    <t>遗忘0潜连携触发</t>
  </si>
  <si>
    <t>遗忘5潜连携触发</t>
  </si>
  <si>
    <t>使命必达0潜(1击飞)</t>
  </si>
  <si>
    <t>使命必达5潜(1击飞)</t>
  </si>
  <si>
    <t>典范0潜3层</t>
  </si>
  <si>
    <t>典范5潜3层</t>
  </si>
  <si>
    <t>赫拉芬格0潜附着特效</t>
  </si>
  <si>
    <t>赫拉芬格5潜附着特效</t>
  </si>
  <si>
    <t>赫拉芬格0潜连携特效</t>
  </si>
  <si>
    <t>赫拉芬格5潜连携特效</t>
  </si>
  <si>
    <t>负山0潜破防加成</t>
  </si>
  <si>
    <t>负山5潜破防加成</t>
  </si>
  <si>
    <t>负山0潜能力加成2层</t>
  </si>
  <si>
    <t>负山5潜能力加成2层</t>
  </si>
  <si>
    <t>艺术暴君0潜3层</t>
  </si>
  <si>
    <t>艺术暴君5潜3层</t>
  </si>
  <si>
    <t>落草0潜伤害加成</t>
  </si>
  <si>
    <t>落草5潜伤害加成</t>
  </si>
  <si>
    <t>落草0潜法术易伤</t>
  </si>
  <si>
    <t>落草5潜法术易伤</t>
  </si>
  <si>
    <t>本质瓦解(管一)</t>
  </si>
  <si>
    <t>(管理员天赋一+攻击)</t>
  </si>
  <si>
    <t>本质瓦解队友(管一)</t>
  </si>
  <si>
    <t>现实静滞(管二)</t>
  </si>
  <si>
    <t>(管理员天赋二+物理易伤)</t>
  </si>
  <si>
    <t>灼心</t>
  </si>
  <si>
    <t>佩丽卡导电25.6%</t>
  </si>
  <si>
    <t>汤汤战技脆弱5%</t>
  </si>
  <si>
    <t>汤汤战技脆弱10%</t>
  </si>
  <si>
    <t>洛茜战技易伤</t>
  </si>
  <si>
    <t>洛茜连携双暴专3</t>
  </si>
  <si>
    <t>洛茜专武0潜狼血1层</t>
  </si>
  <si>
    <t>洛茜专武0潜狼血2层</t>
  </si>
  <si>
    <t>洛茜专武0潜狼血3层</t>
  </si>
  <si>
    <t>洛茜专武0潜狼血4层</t>
  </si>
  <si>
    <t>洛茜专武0潜狼血5层</t>
  </si>
  <si>
    <t>洛茜专武0潜狼血6层</t>
  </si>
  <si>
    <t>洛茜专武0潜狼血7层</t>
  </si>
  <si>
    <t>洛茜专武0潜狼血8层</t>
  </si>
  <si>
    <t>洛茜专武0潜狼血9层</t>
  </si>
  <si>
    <t>洛茜专武0潜狼血10层</t>
  </si>
  <si>
    <t>洛茜专武0潜狼血11层</t>
  </si>
  <si>
    <t>洛茜专武0潜狼血12层</t>
  </si>
  <si>
    <t>洛茜专武0潜狼血13层</t>
  </si>
  <si>
    <t>洛茜专武0潜狼血14层</t>
  </si>
  <si>
    <t>洛茜专武0潜狼血15层</t>
  </si>
  <si>
    <t>洛茜专武0潜狼血16层</t>
  </si>
  <si>
    <t>洛茜专武5潜狼血1层</t>
  </si>
  <si>
    <t>洛茜专武5潜狼血2层</t>
  </si>
  <si>
    <t>洛茜专武5潜狼血3层</t>
  </si>
  <si>
    <t>洛茜专武5潜狼血4层</t>
  </si>
  <si>
    <t>洛茜专武5潜狼血5层</t>
  </si>
  <si>
    <t>洛茜专武5潜狼血6层</t>
  </si>
  <si>
    <t>洛茜专武5潜狼血7层</t>
  </si>
  <si>
    <t>洛茜专武5潜狼血8层</t>
  </si>
  <si>
    <t>洛茜专武5潜狼血9层</t>
  </si>
  <si>
    <t>洛茜专武5潜狼血10层</t>
  </si>
  <si>
    <t>洛茜专武5潜狼血11层</t>
  </si>
  <si>
    <t>洛茜专武5潜狼血12层</t>
  </si>
  <si>
    <t>洛茜专武5潜狼血13层</t>
  </si>
  <si>
    <t>洛茜专武5潜狼血14层</t>
  </si>
  <si>
    <t>洛茜专武5潜狼血15层</t>
  </si>
  <si>
    <t>洛茜专武5潜狼血16层</t>
  </si>
  <si>
    <t>洛茜专武0潜狼血满层额外</t>
  </si>
  <si>
    <t>洛茜专武5潜狼血满层额外</t>
  </si>
  <si>
    <t>0潜寒冷暴伤</t>
  </si>
  <si>
    <t>5潜寒冷暴伤</t>
  </si>
  <si>
    <t>0潜冰冻暴伤</t>
  </si>
  <si>
    <t>5潜冰冻暴伤</t>
  </si>
  <si>
    <t>伊冯大招未叠满增幅0层</t>
  </si>
  <si>
    <t>伊冯大招未叠满增幅1层</t>
  </si>
  <si>
    <t>伊冯大招未叠满增幅2层</t>
  </si>
  <si>
    <t>伊冯大招未叠满增幅3层</t>
  </si>
  <si>
    <t>伊冯大招未叠满增幅4层</t>
  </si>
  <si>
    <t>伊冯大招未叠满增幅5层</t>
  </si>
  <si>
    <t>伊冯大招未叠满增幅6层</t>
  </si>
  <si>
    <t>伊冯大招未叠满增幅7层</t>
  </si>
  <si>
    <t>伊冯大招未叠满增幅8层</t>
  </si>
  <si>
    <t>伊冯大招未叠满增幅9层</t>
  </si>
  <si>
    <t>伊冯大招未叠满增幅0层5潜</t>
  </si>
  <si>
    <t>伊冯大招未叠满增幅1层5潜</t>
  </si>
  <si>
    <t>伊冯大招未叠满增幅2层5潜</t>
  </si>
  <si>
    <t>伊冯大招未叠满增幅3层5潜</t>
  </si>
  <si>
    <t>伊冯大招未叠满增幅4层5潜</t>
  </si>
  <si>
    <t>伊冯大招未叠满增幅5层5潜</t>
  </si>
  <si>
    <t>伊冯大招未叠满增幅6层5潜</t>
  </si>
  <si>
    <t>伊冯大招未叠满增幅7层5潜</t>
  </si>
  <si>
    <t>伊冯大招未叠满增幅8层5潜</t>
  </si>
  <si>
    <t>伊冯大招未叠满增幅9层5潜</t>
  </si>
  <si>
    <t>伊冯0潜大招增幅</t>
  </si>
  <si>
    <t>伊冯5潜大招增幅</t>
  </si>
  <si>
    <t>伊冯重击加成</t>
  </si>
  <si>
    <t>光荣技艺0潜3层</t>
  </si>
  <si>
    <t>光荣技艺5潜3层</t>
  </si>
  <si>
    <t>洁尔佩塔大招0潜1层</t>
  </si>
  <si>
    <t>洁尔佩塔大招0潜2层</t>
  </si>
  <si>
    <t>洁尔佩塔大招0潜3层</t>
  </si>
  <si>
    <t>洁尔佩塔大招0潜4层</t>
  </si>
  <si>
    <t>洁尔佩塔大招2潜1层</t>
  </si>
  <si>
    <t>赛希战技增幅</t>
  </si>
  <si>
    <t>赛希大招增幅(长息)</t>
  </si>
  <si>
    <t>赛希战技+大招增幅(长息)</t>
  </si>
  <si>
    <t>赛希天赋寒冷易伤</t>
  </si>
  <si>
    <t>艾尔黛拉战技脆弱0潜</t>
  </si>
  <si>
    <t>别礼连携脆弱3层</t>
  </si>
  <si>
    <t>别礼连携脆弱4层</t>
  </si>
  <si>
    <t>埃特拉物理脆弱</t>
  </si>
  <si>
    <t>黎风0潜脆弱专1</t>
  </si>
  <si>
    <t>骏卫4层碎甲34%</t>
  </si>
  <si>
    <t>骏卫4层碎甲42%</t>
  </si>
  <si>
    <t>庄8/9剑电增平均</t>
  </si>
  <si>
    <t>庄9剑电增最终</t>
  </si>
  <si>
    <t>庄2/3剑电增平均</t>
  </si>
  <si>
    <t>庄3剑电增最终</t>
  </si>
  <si>
    <t>庄5/6剑电增平均</t>
  </si>
  <si>
    <t>庄6剑电增最终</t>
  </si>
  <si>
    <t>庄1剑电增</t>
  </si>
  <si>
    <t>庄2剑电增</t>
  </si>
  <si>
    <t>庄3剑电增</t>
  </si>
  <si>
    <t>庄4剑电增</t>
  </si>
  <si>
    <t>庄5剑电增</t>
  </si>
  <si>
    <t>庄6剑电增</t>
  </si>
  <si>
    <t>庄7剑电增</t>
  </si>
  <si>
    <t>庄8剑电增</t>
  </si>
  <si>
    <t>庄9剑电增</t>
  </si>
  <si>
    <t>庄5潜无视抗性</t>
  </si>
  <si>
    <t>1级导电</t>
  </si>
  <si>
    <t>2级导电</t>
  </si>
  <si>
    <t>3级导电</t>
  </si>
  <si>
    <t>迷失荒野</t>
  </si>
  <si>
    <t>孤舟战技增伤1层0潜</t>
  </si>
  <si>
    <t>孤舟战技增伤1层5潜</t>
  </si>
  <si>
    <t>孤舟战技增伤2层0潜</t>
  </si>
  <si>
    <t>孤舟战技增伤2层5潜</t>
  </si>
  <si>
    <t>孤舟大招增伤0潜</t>
  </si>
  <si>
    <t>孤舟大招增伤5潜</t>
  </si>
  <si>
    <t>安塔尔聚焦前20秒</t>
  </si>
  <si>
    <t>安塔尔聚焦</t>
  </si>
  <si>
    <t>安塔尔大招</t>
  </si>
  <si>
    <t>洁尔佩塔大招2潜0层</t>
  </si>
  <si>
    <t>M.I.警用5层</t>
  </si>
  <si>
    <t>M.I.警用1层</t>
  </si>
  <si>
    <t>动火套特效</t>
  </si>
  <si>
    <t>脉冲式特效</t>
  </si>
  <si>
    <t>长息套特效</t>
  </si>
  <si>
    <t>潮涌套特效</t>
  </si>
  <si>
    <t>应龙套特效1层</t>
  </si>
  <si>
    <t>应龙套特效2层</t>
  </si>
  <si>
    <t>应龙套特效3层</t>
  </si>
  <si>
    <t>拓荒套特效</t>
  </si>
  <si>
    <t>长息+拓荒</t>
  </si>
  <si>
    <t>碾骨套特效1层</t>
  </si>
  <si>
    <t>碾骨套特效2层</t>
  </si>
  <si>
    <t>壤流套特效1层</t>
  </si>
  <si>
    <t>壤流套特效2层</t>
  </si>
  <si>
    <t>壤流套特效3层</t>
  </si>
  <si>
    <t>清波套特效1层</t>
  </si>
  <si>
    <t>清波套特效2层</t>
  </si>
  <si>
    <t>腐蚀1级2秒(33%技艺加成)</t>
  </si>
  <si>
    <t>腐蚀1级4秒(33%技艺加成)</t>
  </si>
  <si>
    <t>旧锋4层翻倍</t>
  </si>
  <si>
    <t>弭弗3潜</t>
  </si>
  <si>
    <t>弭弗专武+强度5潜</t>
  </si>
  <si>
    <t>弭弗专武+物伤3层5潜</t>
  </si>
  <si>
    <t>弭弗专武+物伤4层0潜</t>
  </si>
  <si>
    <t>弭弗专武+物伤4层5潜</t>
  </si>
  <si>
    <t>弭弗连携脆弱5潜</t>
  </si>
  <si>
    <t>幻想苦痛1层5潜</t>
  </si>
  <si>
    <t>幻想苦痛2层5潜</t>
  </si>
  <si>
    <t>bilibili@片雲</t>
  </si>
  <si>
    <t>版本号</t>
  </si>
  <si>
    <t>编号</t>
  </si>
  <si>
    <t>描述</t>
  </si>
  <si>
    <t>更新测试版本</t>
  </si>
  <si>
    <t>默认100信赖,如需添加新干员请自行计算属性加成</t>
  </si>
  <si>
    <t>属性默认90级</t>
  </si>
  <si>
    <t>修正bug</t>
  </si>
  <si>
    <t>添加了部分数据</t>
  </si>
  <si>
    <t>如需添加新的期望表,直接创建期望1的副本</t>
  </si>
  <si>
    <t>添加了干员属性的准确数据</t>
  </si>
  <si>
    <t>修正食物固定攻击乘区</t>
  </si>
  <si>
    <t>更新了汤汤本体数值和专武信息</t>
  </si>
  <si>
    <t>增加了新装备信息</t>
  </si>
  <si>
    <t>增加了5个buff位</t>
  </si>
  <si>
    <t>将部分合并的增益拆开了</t>
  </si>
  <si>
    <t>更新了洛茜本体数值和专武信息</t>
  </si>
  <si>
    <t>修正了引用错误</t>
  </si>
  <si>
    <t>更新了庄方宜本体数值和专武信息</t>
  </si>
  <si>
    <t>修正了抗性区计算问题</t>
  </si>
  <si>
    <t>修正一些小bug</t>
  </si>
  <si>
    <t>增加暴击和非暴击的期望计算</t>
  </si>
  <si>
    <t>更新了弭弗本体数值和专武信息</t>
  </si>
  <si>
    <t>不确定潜能和天赋是否加算,也不确定战技开天是否受角色等级加成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</si>
</sst>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8" applyNumberFormat="0" applyAlignment="0" applyProtection="0">
      <alignment vertical="center"/>
    </xf>
    <xf numFmtId="0" fontId="11" fillId="5" borderId="19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6" fontId="1" fillId="0" borderId="1" xfId="6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2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0" fontId="0" fillId="0" borderId="0" xfId="0" applyNumberFormat="1" applyAlignment="1">
      <alignment horizontal="right"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  <xf numFmtId="2" fontId="0" fillId="0" borderId="0" xfId="0" applyNumberFormat="1" applyAlignment="1">
      <alignment horizontal="center" vertical="center"/>
    </xf>
    <xf numFmtId="2" fontId="0" fillId="2" borderId="7" xfId="0" applyNumberForma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8" xfId="0" applyFill="1" applyBorder="1">
      <alignment vertical="center"/>
    </xf>
    <xf numFmtId="0" fontId="0" fillId="0" borderId="0" xfId="0" applyFill="1">
      <alignment vertical="center"/>
    </xf>
    <xf numFmtId="0" fontId="2" fillId="0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C38" sqref="C38"/>
    </sheetView>
  </sheetViews>
  <sheetFormatPr defaultColWidth="9" defaultRowHeight="13.5"/>
  <cols>
    <col min="1" max="1" width="15.75" customWidth="1"/>
    <col min="2" max="2" width="10.625" customWidth="1"/>
    <col min="3" max="3" width="10.375" customWidth="1"/>
    <col min="7" max="9" width="12.625" style="36" customWidth="1"/>
    <col min="10" max="10" width="12.625" style="37"/>
    <col min="11" max="11" width="24.625" style="38" customWidth="1"/>
    <col min="12" max="25" width="12.625" style="38" customWidth="1"/>
    <col min="26" max="26" width="12.625" style="39" customWidth="1"/>
    <col min="27" max="28" width="9" style="40"/>
    <col min="29" max="29" width="9.00833333333333" customWidth="1"/>
    <col min="31" max="31" width="10.5" customWidth="1"/>
    <col min="33" max="33" width="11.5" customWidth="1"/>
  </cols>
  <sheetData>
    <row r="1" customHeight="1" spans="1:40">
      <c r="A1" s="41" t="s">
        <v>0</v>
      </c>
      <c r="B1" s="30" t="s">
        <v>1</v>
      </c>
      <c r="C1" s="30" t="s">
        <v>2</v>
      </c>
      <c r="D1" s="42" t="s">
        <v>3</v>
      </c>
      <c r="E1" s="43"/>
      <c r="G1" s="36" t="s">
        <v>4</v>
      </c>
      <c r="H1" s="36" t="s">
        <v>5</v>
      </c>
      <c r="I1" s="36" t="s">
        <v>6</v>
      </c>
      <c r="J1" s="44" t="s">
        <v>7</v>
      </c>
      <c r="K1" s="45" t="s">
        <v>8</v>
      </c>
      <c r="L1" s="45" t="s">
        <v>9</v>
      </c>
      <c r="M1" s="45" t="s">
        <v>10</v>
      </c>
      <c r="N1" s="45" t="s">
        <v>11</v>
      </c>
      <c r="O1" s="45" t="s">
        <v>12</v>
      </c>
      <c r="P1" s="45" t="s">
        <v>13</v>
      </c>
      <c r="Q1" s="45" t="s">
        <v>14</v>
      </c>
      <c r="R1" s="45" t="s">
        <v>15</v>
      </c>
      <c r="S1" s="45" t="s">
        <v>16</v>
      </c>
      <c r="T1" s="45" t="s">
        <v>17</v>
      </c>
      <c r="U1" s="45" t="s">
        <v>18</v>
      </c>
      <c r="V1" s="45" t="s">
        <v>19</v>
      </c>
      <c r="W1" s="45" t="s">
        <v>20</v>
      </c>
      <c r="X1" s="45" t="s">
        <v>21</v>
      </c>
      <c r="Y1" s="45" t="s">
        <v>22</v>
      </c>
      <c r="Z1" s="46" t="s">
        <v>23</v>
      </c>
      <c r="AA1" s="47" t="s">
        <v>24</v>
      </c>
      <c r="AB1" s="47" t="s">
        <v>25</v>
      </c>
      <c r="AC1" s="30" t="s">
        <v>26</v>
      </c>
      <c r="AD1" s="30" t="s">
        <v>27</v>
      </c>
      <c r="AE1" s="30" t="s">
        <v>4</v>
      </c>
      <c r="AF1" s="30" t="s">
        <v>28</v>
      </c>
      <c r="AG1" s="30" t="s">
        <v>29</v>
      </c>
      <c r="AH1" s="30" t="s">
        <v>30</v>
      </c>
      <c r="AI1" s="30" t="s">
        <v>31</v>
      </c>
      <c r="AJ1" s="30" t="s">
        <v>32</v>
      </c>
      <c r="AK1" s="30" t="s">
        <v>33</v>
      </c>
      <c r="AL1" s="30" t="s">
        <v>34</v>
      </c>
      <c r="AM1" s="30" t="s">
        <v>35</v>
      </c>
      <c r="AN1" s="30" t="s">
        <v>36</v>
      </c>
    </row>
    <row r="2" customHeight="1" spans="1:40">
      <c r="A2" s="48" t="s">
        <v>37</v>
      </c>
      <c r="B2" s="30" t="str">
        <f>VLOOKUP($A$2,干员属性!$A:$AG,24,FALSE)</f>
        <v>力量</v>
      </c>
      <c r="C2" s="30" t="str">
        <f>VLOOKUP($A$2,干员属性!$A:$AG,25,FALSE)</f>
        <v>意志</v>
      </c>
      <c r="D2" s="42">
        <v>0</v>
      </c>
      <c r="E2" s="43"/>
      <c r="G2" s="36">
        <f>AA2*AC2*(1+AF2)*(1+AG2)*(1+AH2)*(1+AI2)*(1+AJ2)*(1+AK2)*(1-$D$2+AL2)*(1+AM2)*(1+AN2)*0.5*AE2*J2</f>
        <v>223161.641379285</v>
      </c>
      <c r="H2" s="36">
        <f>AA2*AC2*(1+AF2)*(1+AG2)*(1+AH2)*(1+AI2)*(1+AJ2)*(1+AK2)*(1-$D$2+AL2)*(1+AM2)*(1+AN2)*0.5*J2</f>
        <v>148774.42758619</v>
      </c>
      <c r="I2" s="36">
        <f>AA2*AC2*(1+AF2)*(1+AG2)*(1+AH2)*(1+AI2)*(1+AJ2)*(1+AK2)*(1-$D$2+AL2)*(1+AM2)*(1+AN2)*0.5*(AE2*AD2+(1-AD2))*J2</f>
        <v>160676.381793085</v>
      </c>
      <c r="J2" s="49">
        <v>1</v>
      </c>
      <c r="K2" s="45" t="s">
        <v>38</v>
      </c>
      <c r="L2" s="45" t="s">
        <v>39</v>
      </c>
      <c r="M2" s="45" t="s">
        <v>40</v>
      </c>
      <c r="N2" s="45" t="s">
        <v>41</v>
      </c>
      <c r="O2" s="45" t="s">
        <v>42</v>
      </c>
      <c r="P2" s="45" t="s">
        <v>43</v>
      </c>
      <c r="Q2" s="45" t="s">
        <v>43</v>
      </c>
      <c r="R2" s="45" t="s">
        <v>43</v>
      </c>
      <c r="S2" s="45" t="s">
        <v>43</v>
      </c>
      <c r="T2" s="45" t="s">
        <v>43</v>
      </c>
      <c r="U2" s="45" t="s">
        <v>43</v>
      </c>
      <c r="V2" s="45" t="s">
        <v>43</v>
      </c>
      <c r="W2" s="45" t="s">
        <v>43</v>
      </c>
      <c r="X2" s="45" t="s">
        <v>43</v>
      </c>
      <c r="Y2" s="45" t="s">
        <v>43</v>
      </c>
      <c r="Z2" s="46" t="s">
        <v>43</v>
      </c>
      <c r="AA2" s="50">
        <f>VLOOKUP(K2,技能属性!$A:$AB,2,FALSE)</f>
        <v>6</v>
      </c>
      <c r="AB2" s="50" cm="1">
        <f t="array" ref="AB2">$C$8+SUM(_xlfn.XLOOKUP(L2:Z2,增益属性!$A:$A,增益属性!$N:$N,0))</f>
        <v>0.47</v>
      </c>
      <c r="AC2" s="36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6896.898</v>
      </c>
      <c r="AD2" s="29" cm="1">
        <f t="array" ref="AD2">$C$10+VLOOKUP(K2,技能属性!$A:$Z,3,FALSE)+SUM(_xlfn.XLOOKUP(L2:Z2,增益属性!$A:$A,增益属性!$B:$B))</f>
        <v>0.16</v>
      </c>
      <c r="AE2" s="29" cm="1">
        <f t="array" ref="AE2">$C$11+VLOOKUP(K2,技能属性!$A:$AB,4,FALSE)+SUM(_xlfn.XLOOKUP(L2:Z2,增益属性!$A:$A,增益属性!$C:$C))</f>
        <v>1.5</v>
      </c>
      <c r="AF2" s="29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1.2625</v>
      </c>
      <c r="AG2" s="29" cm="1">
        <f t="array" ref="AG2">IF(VLOOKUP(K2,技能属性!$A:$Z,8,FALSE)=0,0,$C$12+SUM(_xlfn.XLOOKUP(L2:Z2,增益属性!$A:$A,增益属性!$F:$F)))</f>
        <v>1.4667</v>
      </c>
      <c r="AH2" s="29" cm="1">
        <f t="array" ref="AH2">VLOOKUP(K2,技能属性!$A:$Z,9,FALSE)+SUM(_xlfn.XLOOKUP(L2:Z2,增益属性!$A:$A,增益属性!$G:$G))</f>
        <v>0</v>
      </c>
      <c r="AI2" s="29" cm="1">
        <f t="array" ref="AI2">VLOOKUP(K2,技能属性!$A:$Z,10,FALSE)+SUM(_xlfn.XLOOKUP(L2:Z2,增益属性!$A:$A,增益属性!$H:$H))</f>
        <v>0.05</v>
      </c>
      <c r="AJ2" s="29" cm="1">
        <f t="array" ref="AJ2">VLOOKUP(K2,技能属性!$A:$Z,11,FALSE)+SUM(_xlfn.XLOOKUP(L2:Z2,增益属性!$A:$A,增益属性!$I:$I))</f>
        <v>0</v>
      </c>
      <c r="AK2" s="29" cm="1">
        <f t="array" ref="AK2">VLOOKUP(K2,技能属性!$A:$Z,12,FALSE)+SUM(_xlfn.XLOOKUP(L2:Z2,增益属性!$A:$A,增益属性!$J:$J))</f>
        <v>0</v>
      </c>
      <c r="AL2" s="29" cm="1">
        <f t="array" ref="AL2">VLOOKUP(K2,技能属性!$A:$Z,13,FALSE)+SUM(_xlfn.XLOOKUP(L2:Z2,增益属性!$A:$A,增益属性!$K:$K))</f>
        <v>0</v>
      </c>
      <c r="AM2" s="29" cm="1">
        <f t="array" ref="AM2">VLOOKUP(K2,技能属性!$A:$Z,14,FALSE)+SUM(_xlfn.XLOOKUP(L2:Z2,增益属性!$A:$A,增益属性!$L:$L))</f>
        <v>0</v>
      </c>
      <c r="AN2" s="29" cm="1">
        <f t="array" ref="AN2">VLOOKUP(K2,技能属性!$A:$Z,15,FALSE)+SUM(_xlfn.XLOOKUP(L2:Z2,增益属性!$A:$A,增益属性!$M:$M))</f>
        <v>0.227040816326531</v>
      </c>
    </row>
    <row r="3" customHeight="1" spans="1:40">
      <c r="A3" s="51" t="s">
        <v>44</v>
      </c>
      <c r="B3" s="30" t="s">
        <v>45</v>
      </c>
      <c r="C3" s="30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680.46</v>
      </c>
      <c r="G3" s="36">
        <f t="shared" ref="G3:G36" si="0">AA3*AC3*(1+AF3)*(1+AG3)*(1+AH3)*(1+AI3)*(1+AJ3)*(1+AK3)*(1-$D$2+AL3)*(1+AM3)*(1+AN3)*0.5*AE3*J3</f>
        <v>24576.664966875</v>
      </c>
      <c r="H3" s="36">
        <f t="shared" ref="H3:H36" si="1">AA3*AC3*(1+AF3)*(1+AG3)*(1+AH3)*(1+AI3)*(1+AJ3)*(1+AK3)*(1-$D$2+AL3)*(1+AM3)*(1+AN3)*0.5*J3</f>
        <v>16384.44331125</v>
      </c>
      <c r="I3" s="36">
        <f t="shared" ref="I3:I36" si="2">AA3*AC3*(1+AF3)*(1+AG3)*(1+AH3)*(1+AI3)*(1+AJ3)*(1+AK3)*(1-$D$2+AL3)*(1+AM3)*(1+AN3)*0.5*(AE3*AD3+(1-AD3))*J3</f>
        <v>17695.19877615</v>
      </c>
      <c r="J3" s="49">
        <v>1</v>
      </c>
      <c r="K3" s="45" t="s">
        <v>46</v>
      </c>
      <c r="L3" s="45" t="s">
        <v>39</v>
      </c>
      <c r="M3" s="45" t="s">
        <v>40</v>
      </c>
      <c r="N3" s="45" t="s">
        <v>41</v>
      </c>
      <c r="O3" s="45" t="s">
        <v>42</v>
      </c>
      <c r="P3" s="45" t="s">
        <v>43</v>
      </c>
      <c r="Q3" s="45" t="s">
        <v>43</v>
      </c>
      <c r="R3" s="45" t="s">
        <v>43</v>
      </c>
      <c r="S3" s="45" t="s">
        <v>43</v>
      </c>
      <c r="T3" s="45" t="s">
        <v>43</v>
      </c>
      <c r="U3" s="45" t="s">
        <v>43</v>
      </c>
      <c r="V3" s="45" t="s">
        <v>43</v>
      </c>
      <c r="W3" s="45" t="s">
        <v>43</v>
      </c>
      <c r="X3" s="45" t="s">
        <v>43</v>
      </c>
      <c r="Y3" s="45" t="s">
        <v>43</v>
      </c>
      <c r="Z3" s="46" t="s">
        <v>43</v>
      </c>
      <c r="AA3" s="50">
        <f>VLOOKUP(K3,技能属性!$A:$AB,2,FALSE)</f>
        <v>2</v>
      </c>
      <c r="AB3" s="50" cm="1">
        <f t="array" ref="AB3">$C$8+SUM(_xlfn.XLOOKUP(L3:Z3,增益属性!$A:$A,增益属性!$N:$N,0))</f>
        <v>0.47</v>
      </c>
      <c r="AC3" s="36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6896.898</v>
      </c>
      <c r="AD3" s="29" cm="1">
        <f t="array" ref="AD3">$C$10+VLOOKUP(K3,技能属性!$A:$Z,3,FALSE)+SUM(_xlfn.XLOOKUP(L3:Z3,增益属性!$A:$A,增益属性!$B:$B))</f>
        <v>0.16</v>
      </c>
      <c r="AE3" s="29" cm="1">
        <f t="array" ref="AE3">$C$11+VLOOKUP(K3,技能属性!$A:$AB,4,FALSE)+SUM(_xlfn.XLOOKUP(L3:Z3,增益属性!$A:$A,增益属性!$C:$C))</f>
        <v>1.5</v>
      </c>
      <c r="AF3" s="29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1.2625</v>
      </c>
      <c r="AG3" s="29" cm="1">
        <f t="array" ref="AG3">IF(VLOOKUP(K3,技能属性!$A:$Z,8,FALSE)=0,0,$C$12+SUM(_xlfn.XLOOKUP(L3:Z3,增益属性!$A:$A,增益属性!$F:$F)))</f>
        <v>0</v>
      </c>
      <c r="AH3" s="29" cm="1">
        <f t="array" ref="AH3">VLOOKUP(K3,技能属性!$A:$Z,9,FALSE)+SUM(_xlfn.XLOOKUP(L3:Z3,增益属性!$A:$A,增益属性!$G:$G))</f>
        <v>0</v>
      </c>
      <c r="AI3" s="29" cm="1">
        <f t="array" ref="AI3">VLOOKUP(K3,技能属性!$A:$Z,10,FALSE)+SUM(_xlfn.XLOOKUP(L3:Z3,增益属性!$A:$A,增益属性!$H:$H))</f>
        <v>0.05</v>
      </c>
      <c r="AJ3" s="29" cm="1">
        <f t="array" ref="AJ3">VLOOKUP(K3,技能属性!$A:$Z,11,FALSE)+SUM(_xlfn.XLOOKUP(L3:Z3,增益属性!$A:$A,增益属性!$I:$I))</f>
        <v>0</v>
      </c>
      <c r="AK3" s="29" cm="1">
        <f t="array" ref="AK3">VLOOKUP(K3,技能属性!$A:$Z,12,FALSE)+SUM(_xlfn.XLOOKUP(L3:Z3,增益属性!$A:$A,增益属性!$J:$J))</f>
        <v>0</v>
      </c>
      <c r="AL3" s="29" cm="1">
        <f t="array" ref="AL3">VLOOKUP(K3,技能属性!$A:$Z,13,FALSE)+SUM(_xlfn.XLOOKUP(L3:Z3,增益属性!$A:$A,增益属性!$K:$K))</f>
        <v>0</v>
      </c>
      <c r="AM3" s="29" cm="1">
        <f t="array" ref="AM3">VLOOKUP(K3,技能属性!$A:$Z,14,FALSE)+SUM(_xlfn.XLOOKUP(L3:Z3,增益属性!$A:$A,增益属性!$L:$L))</f>
        <v>0</v>
      </c>
      <c r="AN3" s="29" cm="1">
        <f t="array" ref="AN3">VLOOKUP(K3,技能属性!$A:$Z,15,FALSE)+SUM(_xlfn.XLOOKUP(L3:Z3,增益属性!$A:$A,增益属性!$M:$M))</f>
        <v>0</v>
      </c>
    </row>
    <row r="4" customHeight="1" spans="1:40">
      <c r="A4" s="48" t="s">
        <v>47</v>
      </c>
      <c r="B4" s="30" t="s">
        <v>48</v>
      </c>
      <c r="C4" s="30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92.94</v>
      </c>
      <c r="D4" s="52" t="s">
        <v>49</v>
      </c>
      <c r="E4" s="53">
        <v>1</v>
      </c>
      <c r="F4" s="54"/>
      <c r="G4" s="36">
        <f t="shared" si="0"/>
        <v>218243.734105646</v>
      </c>
      <c r="H4" s="36">
        <f t="shared" si="1"/>
        <v>145495.822737097</v>
      </c>
      <c r="I4" s="36">
        <f t="shared" si="2"/>
        <v>157135.488556065</v>
      </c>
      <c r="J4" s="49">
        <v>1</v>
      </c>
      <c r="K4" s="45" t="s">
        <v>50</v>
      </c>
      <c r="L4" s="45" t="s">
        <v>39</v>
      </c>
      <c r="M4" s="45" t="s">
        <v>40</v>
      </c>
      <c r="N4" s="45" t="s">
        <v>41</v>
      </c>
      <c r="O4" s="45" t="s">
        <v>42</v>
      </c>
      <c r="P4" s="45" t="s">
        <v>43</v>
      </c>
      <c r="Q4" s="45" t="s">
        <v>43</v>
      </c>
      <c r="R4" s="45" t="s">
        <v>43</v>
      </c>
      <c r="S4" s="45" t="s">
        <v>43</v>
      </c>
      <c r="T4" s="45" t="s">
        <v>43</v>
      </c>
      <c r="U4" s="45" t="s">
        <v>43</v>
      </c>
      <c r="V4" s="45" t="s">
        <v>43</v>
      </c>
      <c r="W4" s="45" t="s">
        <v>43</v>
      </c>
      <c r="X4" s="45" t="s">
        <v>43</v>
      </c>
      <c r="Y4" s="45" t="s">
        <v>43</v>
      </c>
      <c r="Z4" s="46" t="s">
        <v>43</v>
      </c>
      <c r="AA4" s="50">
        <f>VLOOKUP(K4,技能属性!$A:$AB,2,FALSE)</f>
        <v>6</v>
      </c>
      <c r="AB4" s="50" cm="1">
        <f t="array" ref="AB4">$C$8+SUM(_xlfn.XLOOKUP(L4:Z4,增益属性!$A:$A,增益属性!$N:$N,0))</f>
        <v>0.47</v>
      </c>
      <c r="AC4" s="36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6896.898</v>
      </c>
      <c r="AD4" s="29" cm="1">
        <f t="array" ref="AD4">$C$10+VLOOKUP(K4,技能属性!$A:$Z,3,FALSE)+SUM(_xlfn.XLOOKUP(L4:Z4,增益属性!$A:$A,增益属性!$B:$B))</f>
        <v>0.16</v>
      </c>
      <c r="AE4" s="29" cm="1">
        <f t="array" ref="AE4">$C$11+VLOOKUP(K4,技能属性!$A:$AB,4,FALSE)+SUM(_xlfn.XLOOKUP(L4:Z4,增益属性!$A:$A,增益属性!$C:$C))</f>
        <v>1.5</v>
      </c>
      <c r="AF4" s="29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1.2625</v>
      </c>
      <c r="AG4" s="29" cm="1">
        <f t="array" ref="AG4">IF(VLOOKUP(K4,技能属性!$A:$Z,8,FALSE)=0,0,$C$12+SUM(_xlfn.XLOOKUP(L4:Z4,增益属性!$A:$A,增益属性!$F:$F)))</f>
        <v>1.4667</v>
      </c>
      <c r="AH4" s="29" cm="1">
        <f t="array" ref="AH4">VLOOKUP(K4,技能属性!$A:$Z,9,FALSE)+SUM(_xlfn.XLOOKUP(L4:Z4,增益属性!$A:$A,增益属性!$G:$G))</f>
        <v>0</v>
      </c>
      <c r="AI4" s="29" cm="1">
        <f t="array" ref="AI4">VLOOKUP(K4,技能属性!$A:$Z,10,FALSE)+SUM(_xlfn.XLOOKUP(L4:Z4,增益属性!$A:$A,增益属性!$H:$H))</f>
        <v>0.05</v>
      </c>
      <c r="AJ4" s="29" cm="1">
        <f t="array" ref="AJ4">VLOOKUP(K4,技能属性!$A:$Z,11,FALSE)+SUM(_xlfn.XLOOKUP(L4:Z4,增益属性!$A:$A,增益属性!$I:$I))</f>
        <v>0</v>
      </c>
      <c r="AK4" s="29" cm="1">
        <f t="array" ref="AK4">VLOOKUP(K4,技能属性!$A:$Z,12,FALSE)+SUM(_xlfn.XLOOKUP(L4:Z4,增益属性!$A:$A,增益属性!$J:$J))</f>
        <v>0</v>
      </c>
      <c r="AL4" s="29" cm="1">
        <f t="array" ref="AL4">VLOOKUP(K4,技能属性!$A:$Z,13,FALSE)+SUM(_xlfn.XLOOKUP(L4:Z4,增益属性!$A:$A,增益属性!$K:$K))</f>
        <v>0</v>
      </c>
      <c r="AM4" s="29" cm="1">
        <f t="array" ref="AM4">VLOOKUP(K4,技能属性!$A:$Z,14,FALSE)+SUM(_xlfn.XLOOKUP(L4:Z4,增益属性!$A:$A,增益属性!$L:$L))</f>
        <v>0</v>
      </c>
      <c r="AN4" s="29" cm="1">
        <f t="array" ref="AN4">VLOOKUP(K4,技能属性!$A:$Z,15,FALSE)+SUM(_xlfn.XLOOKUP(L4:Z4,增益属性!$A:$A,增益属性!$M:$M))</f>
        <v>0.2</v>
      </c>
    </row>
    <row r="5" customHeight="1" spans="1:40">
      <c r="A5" s="51" t="s">
        <v>51</v>
      </c>
      <c r="B5" s="30" t="s">
        <v>52</v>
      </c>
      <c r="C5" s="30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90.9</v>
      </c>
      <c r="D5" s="55"/>
      <c r="E5" s="56"/>
      <c r="F5" s="57"/>
      <c r="G5" s="36">
        <f t="shared" si="0"/>
        <v>0</v>
      </c>
      <c r="H5" s="36">
        <f t="shared" si="1"/>
        <v>0</v>
      </c>
      <c r="I5" s="36">
        <f t="shared" si="2"/>
        <v>0</v>
      </c>
      <c r="J5" s="49">
        <v>1</v>
      </c>
      <c r="K5" s="45" t="s">
        <v>43</v>
      </c>
      <c r="L5" s="45" t="s">
        <v>43</v>
      </c>
      <c r="M5" s="45" t="s">
        <v>43</v>
      </c>
      <c r="N5" s="45" t="s">
        <v>43</v>
      </c>
      <c r="O5" s="45" t="s">
        <v>43</v>
      </c>
      <c r="P5" s="45" t="s">
        <v>43</v>
      </c>
      <c r="Q5" s="45" t="s">
        <v>43</v>
      </c>
      <c r="R5" s="45" t="s">
        <v>43</v>
      </c>
      <c r="S5" s="45" t="s">
        <v>43</v>
      </c>
      <c r="T5" s="45" t="s">
        <v>43</v>
      </c>
      <c r="U5" s="45" t="s">
        <v>43</v>
      </c>
      <c r="V5" s="45" t="s">
        <v>43</v>
      </c>
      <c r="W5" s="45" t="s">
        <v>43</v>
      </c>
      <c r="X5" s="45" t="s">
        <v>43</v>
      </c>
      <c r="Y5" s="45" t="s">
        <v>43</v>
      </c>
      <c r="Z5" s="46" t="s">
        <v>43</v>
      </c>
      <c r="AA5" s="50">
        <f>VLOOKUP(K5,技能属性!$A:$AB,2,FALSE)</f>
        <v>0</v>
      </c>
      <c r="AB5" s="50" cm="1">
        <f t="array" ref="AB5">$C$8+SUM(_xlfn.XLOOKUP(L5:Z5,增益属性!$A:$A,增益属性!$N:$N,0))</f>
        <v>0.47</v>
      </c>
      <c r="AC5" s="36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6896.898</v>
      </c>
      <c r="AD5" s="29" cm="1">
        <f t="array" ref="AD5">$C$10+VLOOKUP(K5,技能属性!$A:$Z,3,FALSE)+SUM(_xlfn.XLOOKUP(L5:Z5,增益属性!$A:$A,增益属性!$B:$B))</f>
        <v>0.16</v>
      </c>
      <c r="AE5" s="29" cm="1">
        <f t="array" ref="AE5">$C$11+VLOOKUP(K5,技能属性!$A:$AB,4,FALSE)+SUM(_xlfn.XLOOKUP(L5:Z5,增益属性!$A:$A,增益属性!$C:$C))</f>
        <v>1.5</v>
      </c>
      <c r="AF5" s="29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0.7045</v>
      </c>
      <c r="AG5" s="29" cm="1">
        <f t="array" ref="AG5">IF(VLOOKUP(K5,技能属性!$A:$Z,8,FALSE)=0,0,$C$12+SUM(_xlfn.XLOOKUP(L5:Z5,增益属性!$A:$A,增益属性!$F:$F)))</f>
        <v>0</v>
      </c>
      <c r="AH5" s="29" cm="1">
        <f t="array" ref="AH5">VLOOKUP(K5,技能属性!$A:$Z,9,FALSE)+SUM(_xlfn.XLOOKUP(L5:Z5,增益属性!$A:$A,增益属性!$G:$G))</f>
        <v>0</v>
      </c>
      <c r="AI5" s="29" cm="1">
        <f t="array" ref="AI5">VLOOKUP(K5,技能属性!$A:$Z,10,FALSE)+SUM(_xlfn.XLOOKUP(L5:Z5,增益属性!$A:$A,增益属性!$H:$H))</f>
        <v>0</v>
      </c>
      <c r="AJ5" s="29" cm="1">
        <f t="array" ref="AJ5">VLOOKUP(K5,技能属性!$A:$Z,11,FALSE)+SUM(_xlfn.XLOOKUP(L5:Z5,增益属性!$A:$A,增益属性!$I:$I))</f>
        <v>0</v>
      </c>
      <c r="AK5" s="29" cm="1">
        <f t="array" ref="AK5">VLOOKUP(K5,技能属性!$A:$Z,12,FALSE)+SUM(_xlfn.XLOOKUP(L5:Z5,增益属性!$A:$A,增益属性!$J:$J))</f>
        <v>0</v>
      </c>
      <c r="AL5" s="29" cm="1">
        <f t="array" ref="AL5">VLOOKUP(K5,技能属性!$A:$Z,13,FALSE)+SUM(_xlfn.XLOOKUP(L5:Z5,增益属性!$A:$A,增益属性!$K:$K))</f>
        <v>0</v>
      </c>
      <c r="AM5" s="29" cm="1">
        <f t="array" ref="AM5">VLOOKUP(K5,技能属性!$A:$Z,14,FALSE)+SUM(_xlfn.XLOOKUP(L5:Z5,增益属性!$A:$A,增益属性!$L:$L))</f>
        <v>0</v>
      </c>
      <c r="AN5" s="29" cm="1">
        <f t="array" ref="AN5">VLOOKUP(K5,技能属性!$A:$Z,15,FALSE)+SUM(_xlfn.XLOOKUP(L5:Z5,增益属性!$A:$A,增益属性!$M:$M))</f>
        <v>0</v>
      </c>
    </row>
    <row r="6" customHeight="1" spans="1:40">
      <c r="A6" s="48" t="s">
        <v>53</v>
      </c>
      <c r="B6" s="30" t="s">
        <v>54</v>
      </c>
      <c r="C6" s="30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276.25</v>
      </c>
      <c r="D6" s="52" t="s">
        <v>55</v>
      </c>
      <c r="E6" s="58">
        <f>SUM(I2:I1000)</f>
        <v>432586.902002821</v>
      </c>
      <c r="F6" s="59"/>
      <c r="G6" s="36">
        <f t="shared" si="0"/>
        <v>30720.8312085938</v>
      </c>
      <c r="H6" s="36">
        <f t="shared" si="1"/>
        <v>20480.5541390625</v>
      </c>
      <c r="I6" s="36">
        <f t="shared" si="2"/>
        <v>22118.9984701875</v>
      </c>
      <c r="J6" s="49">
        <v>1</v>
      </c>
      <c r="K6" s="45" t="s">
        <v>56</v>
      </c>
      <c r="L6" s="45" t="s">
        <v>39</v>
      </c>
      <c r="M6" s="45" t="s">
        <v>40</v>
      </c>
      <c r="N6" s="45" t="s">
        <v>41</v>
      </c>
      <c r="O6" s="45" t="s">
        <v>42</v>
      </c>
      <c r="P6" s="45" t="s">
        <v>43</v>
      </c>
      <c r="Q6" s="45" t="s">
        <v>43</v>
      </c>
      <c r="R6" s="45" t="s">
        <v>43</v>
      </c>
      <c r="S6" s="45" t="s">
        <v>43</v>
      </c>
      <c r="T6" s="45" t="s">
        <v>43</v>
      </c>
      <c r="U6" s="45" t="s">
        <v>43</v>
      </c>
      <c r="V6" s="45" t="s">
        <v>43</v>
      </c>
      <c r="W6" s="45" t="s">
        <v>43</v>
      </c>
      <c r="X6" s="45" t="s">
        <v>43</v>
      </c>
      <c r="Y6" s="45" t="s">
        <v>43</v>
      </c>
      <c r="Z6" s="46" t="s">
        <v>43</v>
      </c>
      <c r="AA6" s="50">
        <f>VLOOKUP(K6,技能属性!$A:$AB,2,FALSE)</f>
        <v>2.5</v>
      </c>
      <c r="AB6" s="50" cm="1">
        <f t="array" ref="AB6">$C$8+SUM(_xlfn.XLOOKUP(L6:Z6,增益属性!$A:$A,增益属性!$N:$N,0))</f>
        <v>0.47</v>
      </c>
      <c r="AC6" s="36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6896.898</v>
      </c>
      <c r="AD6" s="29" cm="1">
        <f t="array" ref="AD6">$C$10+VLOOKUP(K6,技能属性!$A:$Z,3,FALSE)+SUM(_xlfn.XLOOKUP(L6:Z6,增益属性!$A:$A,增益属性!$B:$B))</f>
        <v>0.16</v>
      </c>
      <c r="AE6" s="29" cm="1">
        <f t="array" ref="AE6">$C$11+VLOOKUP(K6,技能属性!$A:$AB,4,FALSE)+SUM(_xlfn.XLOOKUP(L6:Z6,增益属性!$A:$A,增益属性!$C:$C))</f>
        <v>1.5</v>
      </c>
      <c r="AF6" s="29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1.2625</v>
      </c>
      <c r="AG6" s="29" cm="1">
        <f t="array" ref="AG6">IF(VLOOKUP(K6,技能属性!$A:$Z,8,FALSE)=0,0,$C$12+SUM(_xlfn.XLOOKUP(L6:Z6,增益属性!$A:$A,增益属性!$F:$F)))</f>
        <v>0</v>
      </c>
      <c r="AH6" s="29" cm="1">
        <f t="array" ref="AH6">VLOOKUP(K6,技能属性!$A:$Z,9,FALSE)+SUM(_xlfn.XLOOKUP(L6:Z6,增益属性!$A:$A,增益属性!$G:$G))</f>
        <v>0</v>
      </c>
      <c r="AI6" s="29" cm="1">
        <f t="array" ref="AI6">VLOOKUP(K6,技能属性!$A:$Z,10,FALSE)+SUM(_xlfn.XLOOKUP(L6:Z6,增益属性!$A:$A,增益属性!$H:$H))</f>
        <v>0.05</v>
      </c>
      <c r="AJ6" s="29" cm="1">
        <f t="array" ref="AJ6">VLOOKUP(K6,技能属性!$A:$Z,11,FALSE)+SUM(_xlfn.XLOOKUP(L6:Z6,增益属性!$A:$A,增益属性!$I:$I))</f>
        <v>0</v>
      </c>
      <c r="AK6" s="29" cm="1">
        <f t="array" ref="AK6">VLOOKUP(K6,技能属性!$A:$Z,12,FALSE)+SUM(_xlfn.XLOOKUP(L6:Z6,增益属性!$A:$A,增益属性!$J:$J))</f>
        <v>0</v>
      </c>
      <c r="AL6" s="29" cm="1">
        <f t="array" ref="AL6">VLOOKUP(K6,技能属性!$A:$Z,13,FALSE)+SUM(_xlfn.XLOOKUP(L6:Z6,增益属性!$A:$A,增益属性!$K:$K))</f>
        <v>0</v>
      </c>
      <c r="AM6" s="29" cm="1">
        <f t="array" ref="AM6">VLOOKUP(K6,技能属性!$A:$Z,14,FALSE)+SUM(_xlfn.XLOOKUP(L6:Z6,增益属性!$A:$A,增益属性!$L:$L))</f>
        <v>0</v>
      </c>
      <c r="AN6" s="29" cm="1">
        <f t="array" ref="AN6">VLOOKUP(K6,技能属性!$A:$Z,15,FALSE)+SUM(_xlfn.XLOOKUP(L6:Z6,增益属性!$A:$A,增益属性!$M:$M))</f>
        <v>0</v>
      </c>
    </row>
    <row r="7" customHeight="1" spans="1:40">
      <c r="A7" s="51" t="s">
        <v>57</v>
      </c>
      <c r="B7" s="30" t="s">
        <v>58</v>
      </c>
      <c r="C7" s="30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825</v>
      </c>
      <c r="D7" s="60"/>
      <c r="E7" s="61"/>
      <c r="F7" s="62"/>
      <c r="G7" s="36">
        <f t="shared" si="0"/>
        <v>86018.3273840625</v>
      </c>
      <c r="H7" s="36">
        <f t="shared" si="1"/>
        <v>57345.551589375</v>
      </c>
      <c r="I7" s="36">
        <f t="shared" si="2"/>
        <v>61933.195716525</v>
      </c>
      <c r="J7" s="49">
        <v>1</v>
      </c>
      <c r="K7" s="45" t="s">
        <v>59</v>
      </c>
      <c r="L7" s="45" t="s">
        <v>39</v>
      </c>
      <c r="M7" s="45" t="s">
        <v>40</v>
      </c>
      <c r="N7" s="45" t="s">
        <v>41</v>
      </c>
      <c r="O7" s="45" t="s">
        <v>42</v>
      </c>
      <c r="P7" s="45" t="s">
        <v>43</v>
      </c>
      <c r="Q7" s="45" t="s">
        <v>43</v>
      </c>
      <c r="R7" s="45" t="s">
        <v>43</v>
      </c>
      <c r="S7" s="45" t="s">
        <v>43</v>
      </c>
      <c r="T7" s="45" t="s">
        <v>43</v>
      </c>
      <c r="U7" s="45" t="s">
        <v>43</v>
      </c>
      <c r="V7" s="45" t="s">
        <v>43</v>
      </c>
      <c r="W7" s="45" t="s">
        <v>43</v>
      </c>
      <c r="X7" s="45" t="s">
        <v>43</v>
      </c>
      <c r="Y7" s="45" t="s">
        <v>43</v>
      </c>
      <c r="Z7" s="46" t="s">
        <v>43</v>
      </c>
      <c r="AA7" s="50">
        <f>VLOOKUP(K7,技能属性!$A:$AB,2,FALSE)</f>
        <v>7</v>
      </c>
      <c r="AB7" s="50" cm="1">
        <f t="array" ref="AB7">$C$8+SUM(_xlfn.XLOOKUP(L7:Z7,增益属性!$A:$A,增益属性!$N:$N,0))</f>
        <v>0.47</v>
      </c>
      <c r="AC7" s="36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6896.898</v>
      </c>
      <c r="AD7" s="29" cm="1">
        <f t="array" ref="AD7">$C$10+VLOOKUP(K7,技能属性!$A:$Z,3,FALSE)+SUM(_xlfn.XLOOKUP(L7:Z7,增益属性!$A:$A,增益属性!$B:$B))</f>
        <v>0.16</v>
      </c>
      <c r="AE7" s="29" cm="1">
        <f t="array" ref="AE7">$C$11+VLOOKUP(K7,技能属性!$A:$AB,4,FALSE)+SUM(_xlfn.XLOOKUP(L7:Z7,增益属性!$A:$A,增益属性!$C:$C))</f>
        <v>1.5</v>
      </c>
      <c r="AF7" s="29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1.2625</v>
      </c>
      <c r="AG7" s="29" cm="1">
        <f t="array" ref="AG7">IF(VLOOKUP(K7,技能属性!$A:$Z,8,FALSE)=0,0,$C$12+SUM(_xlfn.XLOOKUP(L7:Z7,增益属性!$A:$A,增益属性!$F:$F)))</f>
        <v>0</v>
      </c>
      <c r="AH7" s="29" cm="1">
        <f t="array" ref="AH7">VLOOKUP(K7,技能属性!$A:$Z,9,FALSE)+SUM(_xlfn.XLOOKUP(L7:Z7,增益属性!$A:$A,增益属性!$G:$G))</f>
        <v>0</v>
      </c>
      <c r="AI7" s="29" cm="1">
        <f t="array" ref="AI7">VLOOKUP(K7,技能属性!$A:$Z,10,FALSE)+SUM(_xlfn.XLOOKUP(L7:Z7,增益属性!$A:$A,增益属性!$H:$H))</f>
        <v>0.05</v>
      </c>
      <c r="AJ7" s="29" cm="1">
        <f t="array" ref="AJ7">VLOOKUP(K7,技能属性!$A:$Z,11,FALSE)+SUM(_xlfn.XLOOKUP(L7:Z7,增益属性!$A:$A,增益属性!$I:$I))</f>
        <v>0</v>
      </c>
      <c r="AK7" s="29" cm="1">
        <f t="array" ref="AK7">VLOOKUP(K7,技能属性!$A:$Z,12,FALSE)+SUM(_xlfn.XLOOKUP(L7:Z7,增益属性!$A:$A,增益属性!$J:$J))</f>
        <v>0</v>
      </c>
      <c r="AL7" s="29" cm="1">
        <f t="array" ref="AL7">VLOOKUP(K7,技能属性!$A:$Z,13,FALSE)+SUM(_xlfn.XLOOKUP(L7:Z7,增益属性!$A:$A,增益属性!$K:$K))</f>
        <v>0</v>
      </c>
      <c r="AM7" s="29" cm="1">
        <f t="array" ref="AM7">VLOOKUP(K7,技能属性!$A:$Z,14,FALSE)+SUM(_xlfn.XLOOKUP(L7:Z7,增益属性!$A:$A,增益属性!$L:$L))</f>
        <v>0</v>
      </c>
      <c r="AN7" s="29" cm="1">
        <f t="array" ref="AN7">VLOOKUP(K7,技能属性!$A:$Z,15,FALSE)+SUM(_xlfn.XLOOKUP(L7:Z7,增益属性!$A:$A,增益属性!$M:$M))</f>
        <v>0</v>
      </c>
    </row>
    <row r="8" customHeight="1" spans="1:40">
      <c r="A8" s="48" t="s">
        <v>60</v>
      </c>
      <c r="B8" s="30" t="s">
        <v>61</v>
      </c>
      <c r="C8" s="29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0.47</v>
      </c>
      <c r="D8" s="55"/>
      <c r="E8" s="63"/>
      <c r="F8" s="64"/>
      <c r="G8" s="36">
        <f t="shared" si="0"/>
        <v>18093.9426261228</v>
      </c>
      <c r="H8" s="36">
        <f t="shared" si="1"/>
        <v>12062.6284174152</v>
      </c>
      <c r="I8" s="36">
        <f t="shared" si="2"/>
        <v>13027.6386908084</v>
      </c>
      <c r="J8" s="49">
        <v>1</v>
      </c>
      <c r="K8" s="45" t="s">
        <v>62</v>
      </c>
      <c r="L8" s="45" t="s">
        <v>39</v>
      </c>
      <c r="M8" s="45" t="s">
        <v>40</v>
      </c>
      <c r="N8" s="45" t="s">
        <v>41</v>
      </c>
      <c r="O8" s="45" t="s">
        <v>42</v>
      </c>
      <c r="P8" s="45" t="s">
        <v>43</v>
      </c>
      <c r="Q8" s="45" t="s">
        <v>43</v>
      </c>
      <c r="R8" s="45" t="s">
        <v>43</v>
      </c>
      <c r="S8" s="45" t="s">
        <v>43</v>
      </c>
      <c r="T8" s="45" t="s">
        <v>43</v>
      </c>
      <c r="U8" s="45" t="s">
        <v>43</v>
      </c>
      <c r="V8" s="45" t="s">
        <v>43</v>
      </c>
      <c r="W8" s="45" t="s">
        <v>43</v>
      </c>
      <c r="X8" s="45" t="s">
        <v>43</v>
      </c>
      <c r="Y8" s="45" t="s">
        <v>43</v>
      </c>
      <c r="Z8" s="46" t="s">
        <v>43</v>
      </c>
      <c r="AA8" s="50">
        <f>VLOOKUP(K8,技能属性!$A:$AB,2,FALSE)</f>
        <v>1.2</v>
      </c>
      <c r="AB8" s="50" cm="1">
        <f t="array" ref="AB8">$C$8+SUM(_xlfn.XLOOKUP(L8:Z8,增益属性!$A:$A,增益属性!$N:$N,0))</f>
        <v>0.47</v>
      </c>
      <c r="AC8" s="36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6896.898</v>
      </c>
      <c r="AD8" s="29" cm="1">
        <f t="array" ref="AD8">$C$10+VLOOKUP(K8,技能属性!$A:$Z,3,FALSE)+SUM(_xlfn.XLOOKUP(L8:Z8,增益属性!$A:$A,增益属性!$B:$B))</f>
        <v>0.16</v>
      </c>
      <c r="AE8" s="29" cm="1">
        <f t="array" ref="AE8">$C$11+VLOOKUP(K8,技能属性!$A:$AB,4,FALSE)+SUM(_xlfn.XLOOKUP(L8:Z8,增益属性!$A:$A,增益属性!$C:$C))</f>
        <v>1.5</v>
      </c>
      <c r="AF8" s="29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1.2625</v>
      </c>
      <c r="AG8" s="29" cm="1">
        <f t="array" ref="AG8">IF(VLOOKUP(K8,技能属性!$A:$Z,8,FALSE)=0,0,$C$12+SUM(_xlfn.XLOOKUP(L8:Z8,增益属性!$A:$A,增益属性!$F:$F)))</f>
        <v>0</v>
      </c>
      <c r="AH8" s="29" cm="1">
        <f t="array" ref="AH8">VLOOKUP(K8,技能属性!$A:$Z,9,FALSE)+SUM(_xlfn.XLOOKUP(L8:Z8,增益属性!$A:$A,增益属性!$G:$G))</f>
        <v>0</v>
      </c>
      <c r="AI8" s="29" cm="1">
        <f t="array" ref="AI8">VLOOKUP(K8,技能属性!$A:$Z,10,FALSE)+SUM(_xlfn.XLOOKUP(L8:Z8,增益属性!$A:$A,增益属性!$H:$H))</f>
        <v>0.05</v>
      </c>
      <c r="AJ8" s="29" cm="1">
        <f t="array" ref="AJ8">VLOOKUP(K8,技能属性!$A:$Z,11,FALSE)+SUM(_xlfn.XLOOKUP(L8:Z8,增益属性!$A:$A,增益属性!$I:$I))</f>
        <v>0</v>
      </c>
      <c r="AK8" s="29" cm="1">
        <f t="array" ref="AK8">VLOOKUP(K8,技能属性!$A:$Z,12,FALSE)+SUM(_xlfn.XLOOKUP(L8:Z8,增益属性!$A:$A,增益属性!$J:$J))</f>
        <v>0</v>
      </c>
      <c r="AL8" s="29" cm="1">
        <f t="array" ref="AL8">VLOOKUP(K8,技能属性!$A:$Z,13,FALSE)+SUM(_xlfn.XLOOKUP(L8:Z8,增益属性!$A:$A,增益属性!$K:$K))</f>
        <v>0</v>
      </c>
      <c r="AM8" s="29" cm="1">
        <f t="array" ref="AM8">VLOOKUP(K8,技能属性!$A:$Z,14,FALSE)+SUM(_xlfn.XLOOKUP(L8:Z8,增益属性!$A:$A,增益属性!$L:$L))</f>
        <v>0</v>
      </c>
      <c r="AN8" s="29" cm="1">
        <f t="array" ref="AN8">VLOOKUP(K8,技能属性!$A:$Z,15,FALSE)+SUM(_xlfn.XLOOKUP(L8:Z8,增益属性!$A:$A,增益属性!$M:$M))</f>
        <v>0.227040816326531</v>
      </c>
    </row>
    <row r="9" customHeight="1" spans="1:40">
      <c r="A9" s="51" t="s">
        <v>63</v>
      </c>
      <c r="B9" s="30" t="s">
        <v>64</v>
      </c>
      <c r="C9" s="29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3.952</v>
      </c>
      <c r="D9" s="52" t="s">
        <v>65</v>
      </c>
      <c r="E9" s="61">
        <f>E6/E4</f>
        <v>432586.902002821</v>
      </c>
      <c r="F9" s="62"/>
      <c r="G9" s="36">
        <f t="shared" si="0"/>
        <v>0</v>
      </c>
      <c r="H9" s="36">
        <f t="shared" si="1"/>
        <v>0</v>
      </c>
      <c r="I9" s="36">
        <f t="shared" si="2"/>
        <v>0</v>
      </c>
      <c r="J9" s="49">
        <v>1</v>
      </c>
      <c r="K9" s="45" t="s">
        <v>43</v>
      </c>
      <c r="L9" s="45" t="s">
        <v>43</v>
      </c>
      <c r="M9" s="45" t="s">
        <v>43</v>
      </c>
      <c r="N9" s="45" t="s">
        <v>43</v>
      </c>
      <c r="O9" s="45" t="s">
        <v>43</v>
      </c>
      <c r="P9" s="45" t="s">
        <v>43</v>
      </c>
      <c r="Q9" s="45" t="s">
        <v>43</v>
      </c>
      <c r="R9" s="45" t="s">
        <v>43</v>
      </c>
      <c r="S9" s="45" t="s">
        <v>43</v>
      </c>
      <c r="T9" s="45" t="s">
        <v>43</v>
      </c>
      <c r="U9" s="45" t="s">
        <v>43</v>
      </c>
      <c r="V9" s="45" t="s">
        <v>43</v>
      </c>
      <c r="W9" s="45" t="s">
        <v>43</v>
      </c>
      <c r="X9" s="45" t="s">
        <v>43</v>
      </c>
      <c r="Y9" s="45" t="s">
        <v>43</v>
      </c>
      <c r="Z9" s="46" t="s">
        <v>43</v>
      </c>
      <c r="AA9" s="50">
        <f>VLOOKUP(K9,技能属性!$A:$AB,2,FALSE)</f>
        <v>0</v>
      </c>
      <c r="AB9" s="50" cm="1">
        <f t="array" ref="AB9">$C$8+SUM(_xlfn.XLOOKUP(L9:Z9,增益属性!$A:$A,增益属性!$N:$N,0))</f>
        <v>0.47</v>
      </c>
      <c r="AC9" s="36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6896.898</v>
      </c>
      <c r="AD9" s="29" cm="1">
        <f t="array" ref="AD9">$C$10+VLOOKUP(K9,技能属性!$A:$Z,3,FALSE)+SUM(_xlfn.XLOOKUP(L9:Z9,增益属性!$A:$A,增益属性!$B:$B))</f>
        <v>0.16</v>
      </c>
      <c r="AE9" s="29" cm="1">
        <f t="array" ref="AE9">$C$11+VLOOKUP(K9,技能属性!$A:$AB,4,FALSE)+SUM(_xlfn.XLOOKUP(L9:Z9,增益属性!$A:$A,增益属性!$C:$C))</f>
        <v>1.5</v>
      </c>
      <c r="AF9" s="29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0.7045</v>
      </c>
      <c r="AG9" s="29" cm="1">
        <f t="array" ref="AG9">IF(VLOOKUP(K9,技能属性!$A:$Z,8,FALSE)=0,0,$C$12+SUM(_xlfn.XLOOKUP(L9:Z9,增益属性!$A:$A,增益属性!$F:$F)))</f>
        <v>0</v>
      </c>
      <c r="AH9" s="29" cm="1">
        <f t="array" ref="AH9">VLOOKUP(K9,技能属性!$A:$Z,9,FALSE)+SUM(_xlfn.XLOOKUP(L9:Z9,增益属性!$A:$A,增益属性!$G:$G))</f>
        <v>0</v>
      </c>
      <c r="AI9" s="29" cm="1">
        <f t="array" ref="AI9">VLOOKUP(K9,技能属性!$A:$Z,10,FALSE)+SUM(_xlfn.XLOOKUP(L9:Z9,增益属性!$A:$A,增益属性!$H:$H))</f>
        <v>0</v>
      </c>
      <c r="AJ9" s="29" cm="1">
        <f t="array" ref="AJ9">VLOOKUP(K9,技能属性!$A:$Z,11,FALSE)+SUM(_xlfn.XLOOKUP(L9:Z9,增益属性!$A:$A,增益属性!$I:$I))</f>
        <v>0</v>
      </c>
      <c r="AK9" s="29" cm="1">
        <f t="array" ref="AK9">VLOOKUP(K9,技能属性!$A:$Z,12,FALSE)+SUM(_xlfn.XLOOKUP(L9:Z9,增益属性!$A:$A,增益属性!$J:$J))</f>
        <v>0</v>
      </c>
      <c r="AL9" s="29" cm="1">
        <f t="array" ref="AL9">VLOOKUP(K9,技能属性!$A:$Z,13,FALSE)+SUM(_xlfn.XLOOKUP(L9:Z9,增益属性!$A:$A,增益属性!$K:$K))</f>
        <v>0</v>
      </c>
      <c r="AM9" s="29" cm="1">
        <f t="array" ref="AM9">VLOOKUP(K9,技能属性!$A:$Z,14,FALSE)+SUM(_xlfn.XLOOKUP(L9:Z9,增益属性!$A:$A,增益属性!$L:$L))</f>
        <v>0</v>
      </c>
      <c r="AN9" s="29" cm="1">
        <f t="array" ref="AN9">VLOOKUP(K9,技能属性!$A:$Z,15,FALSE)+SUM(_xlfn.XLOOKUP(L9:Z9,增益属性!$A:$A,增益属性!$M:$M))</f>
        <v>0</v>
      </c>
    </row>
    <row r="10" customHeight="1" spans="1:40">
      <c r="A10" s="48" t="s">
        <v>66</v>
      </c>
      <c r="B10" s="30" t="s">
        <v>27</v>
      </c>
      <c r="C10" s="29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0.16</v>
      </c>
      <c r="D10" s="60"/>
      <c r="E10" s="61"/>
      <c r="F10" s="62"/>
      <c r="G10" s="36">
        <f t="shared" si="0"/>
        <v>0</v>
      </c>
      <c r="H10" s="36">
        <f t="shared" si="1"/>
        <v>0</v>
      </c>
      <c r="I10" s="36">
        <f t="shared" si="2"/>
        <v>0</v>
      </c>
      <c r="J10" s="49">
        <v>1</v>
      </c>
      <c r="K10" s="45" t="s">
        <v>43</v>
      </c>
      <c r="L10" s="45" t="s">
        <v>43</v>
      </c>
      <c r="M10" s="45" t="s">
        <v>43</v>
      </c>
      <c r="N10" s="45" t="s">
        <v>43</v>
      </c>
      <c r="O10" s="45" t="s">
        <v>43</v>
      </c>
      <c r="P10" s="45" t="s">
        <v>43</v>
      </c>
      <c r="Q10" s="45" t="s">
        <v>43</v>
      </c>
      <c r="R10" s="45" t="s">
        <v>43</v>
      </c>
      <c r="S10" s="45" t="s">
        <v>43</v>
      </c>
      <c r="T10" s="45" t="s">
        <v>43</v>
      </c>
      <c r="U10" s="45" t="s">
        <v>43</v>
      </c>
      <c r="V10" s="45" t="s">
        <v>43</v>
      </c>
      <c r="W10" s="45" t="s">
        <v>43</v>
      </c>
      <c r="X10" s="45" t="s">
        <v>43</v>
      </c>
      <c r="Y10" s="45" t="s">
        <v>43</v>
      </c>
      <c r="Z10" s="46" t="s">
        <v>43</v>
      </c>
      <c r="AA10" s="50">
        <f>VLOOKUP(K10,技能属性!$A:$AB,2,FALSE)</f>
        <v>0</v>
      </c>
      <c r="AB10" s="50" cm="1">
        <f t="array" ref="AB10">$C$8+SUM(_xlfn.XLOOKUP(L10:Z10,增益属性!$A:$A,增益属性!$N:$N,0))</f>
        <v>0.47</v>
      </c>
      <c r="AC10" s="36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6896.898</v>
      </c>
      <c r="AD10" s="29" cm="1">
        <f t="array" ref="AD10">$C$10+VLOOKUP(K10,技能属性!$A:$Z,3,FALSE)+SUM(_xlfn.XLOOKUP(L10:Z10,增益属性!$A:$A,增益属性!$B:$B))</f>
        <v>0.16</v>
      </c>
      <c r="AE10" s="29" cm="1">
        <f t="array" ref="AE10">$C$11+VLOOKUP(K10,技能属性!$A:$AB,4,FALSE)+SUM(_xlfn.XLOOKUP(L10:Z10,增益属性!$A:$A,增益属性!$C:$C))</f>
        <v>1.5</v>
      </c>
      <c r="AF10" s="29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0.7045</v>
      </c>
      <c r="AG10" s="29" cm="1">
        <f t="array" ref="AG10">IF(VLOOKUP(K10,技能属性!$A:$Z,8,FALSE)=0,0,$C$12+SUM(_xlfn.XLOOKUP(L10:Z10,增益属性!$A:$A,增益属性!$F:$F)))</f>
        <v>0</v>
      </c>
      <c r="AH10" s="29" cm="1">
        <f t="array" ref="AH10">VLOOKUP(K10,技能属性!$A:$Z,9,FALSE)+SUM(_xlfn.XLOOKUP(L10:Z10,增益属性!$A:$A,增益属性!$G:$G))</f>
        <v>0</v>
      </c>
      <c r="AI10" s="29" cm="1">
        <f t="array" ref="AI10">VLOOKUP(K10,技能属性!$A:$Z,10,FALSE)+SUM(_xlfn.XLOOKUP(L10:Z10,增益属性!$A:$A,增益属性!$H:$H))</f>
        <v>0</v>
      </c>
      <c r="AJ10" s="29" cm="1">
        <f t="array" ref="AJ10">VLOOKUP(K10,技能属性!$A:$Z,11,FALSE)+SUM(_xlfn.XLOOKUP(L10:Z10,增益属性!$A:$A,增益属性!$I:$I))</f>
        <v>0</v>
      </c>
      <c r="AK10" s="29" cm="1">
        <f t="array" ref="AK10">VLOOKUP(K10,技能属性!$A:$Z,12,FALSE)+SUM(_xlfn.XLOOKUP(L10:Z10,增益属性!$A:$A,增益属性!$J:$J))</f>
        <v>0</v>
      </c>
      <c r="AL10" s="29" cm="1">
        <f t="array" ref="AL10">VLOOKUP(K10,技能属性!$A:$Z,13,FALSE)+SUM(_xlfn.XLOOKUP(L10:Z10,增益属性!$A:$A,增益属性!$K:$K))</f>
        <v>0</v>
      </c>
      <c r="AM10" s="29" cm="1">
        <f t="array" ref="AM10">VLOOKUP(K10,技能属性!$A:$Z,14,FALSE)+SUM(_xlfn.XLOOKUP(L10:Z10,增益属性!$A:$A,增益属性!$L:$L))</f>
        <v>0</v>
      </c>
      <c r="AN10" s="29" cm="1">
        <f t="array" ref="AN10">VLOOKUP(K10,技能属性!$A:$Z,15,FALSE)+SUM(_xlfn.XLOOKUP(L10:Z10,增益属性!$A:$A,增益属性!$M:$M))</f>
        <v>0</v>
      </c>
    </row>
    <row r="11" customHeight="1" spans="1:40">
      <c r="A11" s="51" t="s">
        <v>67</v>
      </c>
      <c r="B11" s="30" t="s">
        <v>4</v>
      </c>
      <c r="C11" s="29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5"/>
      <c r="E11" s="63"/>
      <c r="F11" s="64"/>
      <c r="G11" s="36">
        <f t="shared" si="0"/>
        <v>0</v>
      </c>
      <c r="H11" s="36">
        <f t="shared" si="1"/>
        <v>0</v>
      </c>
      <c r="I11" s="36">
        <f t="shared" si="2"/>
        <v>0</v>
      </c>
      <c r="J11" s="49">
        <v>1</v>
      </c>
      <c r="K11" s="45" t="s">
        <v>43</v>
      </c>
      <c r="L11" s="45" t="s">
        <v>43</v>
      </c>
      <c r="M11" s="45" t="s">
        <v>43</v>
      </c>
      <c r="N11" s="45" t="s">
        <v>43</v>
      </c>
      <c r="O11" s="45" t="s">
        <v>43</v>
      </c>
      <c r="P11" s="45" t="s">
        <v>43</v>
      </c>
      <c r="Q11" s="45" t="s">
        <v>43</v>
      </c>
      <c r="R11" s="45" t="s">
        <v>43</v>
      </c>
      <c r="S11" s="45" t="s">
        <v>43</v>
      </c>
      <c r="T11" s="45" t="s">
        <v>43</v>
      </c>
      <c r="U11" s="45" t="s">
        <v>43</v>
      </c>
      <c r="V11" s="45" t="s">
        <v>43</v>
      </c>
      <c r="W11" s="45" t="s">
        <v>43</v>
      </c>
      <c r="X11" s="45" t="s">
        <v>43</v>
      </c>
      <c r="Y11" s="45" t="s">
        <v>43</v>
      </c>
      <c r="Z11" s="46" t="s">
        <v>43</v>
      </c>
      <c r="AA11" s="50">
        <f>VLOOKUP(K11,技能属性!$A:$AB,2,FALSE)</f>
        <v>0</v>
      </c>
      <c r="AB11" s="50" cm="1">
        <f t="array" ref="AB11">$C$8+SUM(_xlfn.XLOOKUP(L11:Z11,增益属性!$A:$A,增益属性!$N:$N,0))</f>
        <v>0.47</v>
      </c>
      <c r="AC11" s="36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6896.898</v>
      </c>
      <c r="AD11" s="29" cm="1">
        <f t="array" ref="AD11">$C$10+VLOOKUP(K11,技能属性!$A:$Z,3,FALSE)+SUM(_xlfn.XLOOKUP(L11:Z11,增益属性!$A:$A,增益属性!$B:$B))</f>
        <v>0.16</v>
      </c>
      <c r="AE11" s="29" cm="1">
        <f t="array" ref="AE11">$C$11+VLOOKUP(K11,技能属性!$A:$AB,4,FALSE)+SUM(_xlfn.XLOOKUP(L11:Z11,增益属性!$A:$A,增益属性!$C:$C))</f>
        <v>1.5</v>
      </c>
      <c r="AF11" s="29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0.7045</v>
      </c>
      <c r="AG11" s="29" cm="1">
        <f t="array" ref="AG11">IF(VLOOKUP(K11,技能属性!$A:$Z,8,FALSE)=0,0,$C$12+SUM(_xlfn.XLOOKUP(L11:Z11,增益属性!$A:$A,增益属性!$F:$F)))</f>
        <v>0</v>
      </c>
      <c r="AH11" s="29" cm="1">
        <f t="array" ref="AH11">VLOOKUP(K11,技能属性!$A:$Z,9,FALSE)+SUM(_xlfn.XLOOKUP(L11:Z11,增益属性!$A:$A,增益属性!$G:$G))</f>
        <v>0</v>
      </c>
      <c r="AI11" s="29" cm="1">
        <f t="array" ref="AI11">VLOOKUP(K11,技能属性!$A:$Z,10,FALSE)+SUM(_xlfn.XLOOKUP(L11:Z11,增益属性!$A:$A,增益属性!$H:$H))</f>
        <v>0</v>
      </c>
      <c r="AJ11" s="29" cm="1">
        <f t="array" ref="AJ11">VLOOKUP(K11,技能属性!$A:$Z,11,FALSE)+SUM(_xlfn.XLOOKUP(L11:Z11,增益属性!$A:$A,增益属性!$I:$I))</f>
        <v>0</v>
      </c>
      <c r="AK11" s="29" cm="1">
        <f t="array" ref="AK11">VLOOKUP(K11,技能属性!$A:$Z,12,FALSE)+SUM(_xlfn.XLOOKUP(L11:Z11,增益属性!$A:$A,增益属性!$J:$J))</f>
        <v>0</v>
      </c>
      <c r="AL11" s="29" cm="1">
        <f t="array" ref="AL11">VLOOKUP(K11,技能属性!$A:$Z,13,FALSE)+SUM(_xlfn.XLOOKUP(L11:Z11,增益属性!$A:$A,增益属性!$K:$K))</f>
        <v>0</v>
      </c>
      <c r="AM11" s="29" cm="1">
        <f t="array" ref="AM11">VLOOKUP(K11,技能属性!$A:$Z,14,FALSE)+SUM(_xlfn.XLOOKUP(L11:Z11,增益属性!$A:$A,增益属性!$L:$L))</f>
        <v>0</v>
      </c>
      <c r="AN11" s="29" cm="1">
        <f t="array" ref="AN11">VLOOKUP(K11,技能属性!$A:$Z,15,FALSE)+SUM(_xlfn.XLOOKUP(L11:Z11,增益属性!$A:$A,增益属性!$M:$M))</f>
        <v>0</v>
      </c>
    </row>
    <row r="12" customHeight="1" spans="1:40">
      <c r="A12" s="48" t="s">
        <v>68</v>
      </c>
      <c r="B12" s="30" t="s">
        <v>69</v>
      </c>
      <c r="C12" s="29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0.9867</v>
      </c>
      <c r="G12" s="36">
        <f t="shared" si="0"/>
        <v>0</v>
      </c>
      <c r="H12" s="36">
        <f t="shared" si="1"/>
        <v>0</v>
      </c>
      <c r="I12" s="36">
        <f t="shared" si="2"/>
        <v>0</v>
      </c>
      <c r="J12" s="49">
        <v>1</v>
      </c>
      <c r="K12" s="45" t="s">
        <v>43</v>
      </c>
      <c r="L12" s="45" t="s">
        <v>43</v>
      </c>
      <c r="M12" s="45" t="s">
        <v>43</v>
      </c>
      <c r="N12" s="45" t="s">
        <v>43</v>
      </c>
      <c r="O12" s="45" t="s">
        <v>43</v>
      </c>
      <c r="P12" s="45" t="s">
        <v>43</v>
      </c>
      <c r="Q12" s="45" t="s">
        <v>43</v>
      </c>
      <c r="R12" s="45" t="s">
        <v>43</v>
      </c>
      <c r="S12" s="45" t="s">
        <v>43</v>
      </c>
      <c r="T12" s="45" t="s">
        <v>43</v>
      </c>
      <c r="U12" s="45" t="s">
        <v>43</v>
      </c>
      <c r="V12" s="45" t="s">
        <v>43</v>
      </c>
      <c r="W12" s="45" t="s">
        <v>43</v>
      </c>
      <c r="X12" s="45" t="s">
        <v>43</v>
      </c>
      <c r="Y12" s="45" t="s">
        <v>43</v>
      </c>
      <c r="Z12" s="46" t="s">
        <v>43</v>
      </c>
      <c r="AA12" s="50">
        <f>VLOOKUP(K12,技能属性!$A:$AB,2,FALSE)</f>
        <v>0</v>
      </c>
      <c r="AB12" s="50" cm="1">
        <f t="array" ref="AB12">$C$8+SUM(_xlfn.XLOOKUP(L12:Z12,增益属性!$A:$A,增益属性!$N:$N,0))</f>
        <v>0.47</v>
      </c>
      <c r="AC12" s="36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6896.898</v>
      </c>
      <c r="AD12" s="29" cm="1">
        <f t="array" ref="AD12">$C$10+VLOOKUP(K12,技能属性!$A:$Z,3,FALSE)+SUM(_xlfn.XLOOKUP(L12:Z12,增益属性!$A:$A,增益属性!$B:$B))</f>
        <v>0.16</v>
      </c>
      <c r="AE12" s="29" cm="1">
        <f t="array" ref="AE12">$C$11+VLOOKUP(K12,技能属性!$A:$AB,4,FALSE)+SUM(_xlfn.XLOOKUP(L12:Z12,增益属性!$A:$A,增益属性!$C:$C))</f>
        <v>1.5</v>
      </c>
      <c r="AF12" s="29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0.7045</v>
      </c>
      <c r="AG12" s="29" cm="1">
        <f t="array" ref="AG12">IF(VLOOKUP(K12,技能属性!$A:$Z,8,FALSE)=0,0,$C$12+SUM(_xlfn.XLOOKUP(L12:Z12,增益属性!$A:$A,增益属性!$F:$F)))</f>
        <v>0</v>
      </c>
      <c r="AH12" s="29" cm="1">
        <f t="array" ref="AH12">VLOOKUP(K12,技能属性!$A:$Z,9,FALSE)+SUM(_xlfn.XLOOKUP(L12:Z12,增益属性!$A:$A,增益属性!$G:$G))</f>
        <v>0</v>
      </c>
      <c r="AI12" s="29" cm="1">
        <f t="array" ref="AI12">VLOOKUP(K12,技能属性!$A:$Z,10,FALSE)+SUM(_xlfn.XLOOKUP(L12:Z12,增益属性!$A:$A,增益属性!$H:$H))</f>
        <v>0</v>
      </c>
      <c r="AJ12" s="29" cm="1">
        <f t="array" ref="AJ12">VLOOKUP(K12,技能属性!$A:$Z,11,FALSE)+SUM(_xlfn.XLOOKUP(L12:Z12,增益属性!$A:$A,增益属性!$I:$I))</f>
        <v>0</v>
      </c>
      <c r="AK12" s="29" cm="1">
        <f t="array" ref="AK12">VLOOKUP(K12,技能属性!$A:$Z,12,FALSE)+SUM(_xlfn.XLOOKUP(L12:Z12,增益属性!$A:$A,增益属性!$J:$J))</f>
        <v>0</v>
      </c>
      <c r="AL12" s="29" cm="1">
        <f t="array" ref="AL12">VLOOKUP(K12,技能属性!$A:$Z,13,FALSE)+SUM(_xlfn.XLOOKUP(L12:Z12,增益属性!$A:$A,增益属性!$K:$K))</f>
        <v>0</v>
      </c>
      <c r="AM12" s="29" cm="1">
        <f t="array" ref="AM12">VLOOKUP(K12,技能属性!$A:$Z,14,FALSE)+SUM(_xlfn.XLOOKUP(L12:Z12,增益属性!$A:$A,增益属性!$L:$L))</f>
        <v>0</v>
      </c>
      <c r="AN12" s="29" cm="1">
        <f t="array" ref="AN12">VLOOKUP(K12,技能属性!$A:$Z,15,FALSE)+SUM(_xlfn.XLOOKUP(L12:Z12,增益属性!$A:$A,增益属性!$M:$M))</f>
        <v>0</v>
      </c>
    </row>
    <row r="13" customHeight="1" spans="1:40">
      <c r="A13" s="51" t="s">
        <v>70</v>
      </c>
      <c r="B13" s="30" t="s">
        <v>71</v>
      </c>
      <c r="C13" s="29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</v>
      </c>
      <c r="G13" s="36">
        <f t="shared" si="0"/>
        <v>0</v>
      </c>
      <c r="H13" s="36">
        <f t="shared" si="1"/>
        <v>0</v>
      </c>
      <c r="I13" s="36">
        <f t="shared" si="2"/>
        <v>0</v>
      </c>
      <c r="J13" s="49">
        <v>1</v>
      </c>
      <c r="K13" s="45" t="s">
        <v>43</v>
      </c>
      <c r="L13" s="45" t="s">
        <v>43</v>
      </c>
      <c r="M13" s="45" t="s">
        <v>43</v>
      </c>
      <c r="N13" s="45" t="s">
        <v>43</v>
      </c>
      <c r="O13" s="45" t="s">
        <v>43</v>
      </c>
      <c r="P13" s="45" t="s">
        <v>43</v>
      </c>
      <c r="Q13" s="45" t="s">
        <v>43</v>
      </c>
      <c r="R13" s="45" t="s">
        <v>43</v>
      </c>
      <c r="S13" s="45" t="s">
        <v>43</v>
      </c>
      <c r="T13" s="45" t="s">
        <v>43</v>
      </c>
      <c r="U13" s="45" t="s">
        <v>43</v>
      </c>
      <c r="V13" s="45" t="s">
        <v>43</v>
      </c>
      <c r="W13" s="45" t="s">
        <v>43</v>
      </c>
      <c r="X13" s="45" t="s">
        <v>43</v>
      </c>
      <c r="Y13" s="45" t="s">
        <v>43</v>
      </c>
      <c r="Z13" s="46" t="s">
        <v>43</v>
      </c>
      <c r="AA13" s="50">
        <f>VLOOKUP(K13,技能属性!$A:$AB,2,FALSE)</f>
        <v>0</v>
      </c>
      <c r="AB13" s="50" cm="1">
        <f t="array" ref="AB13">$C$8+SUM(_xlfn.XLOOKUP(L13:Z13,增益属性!$A:$A,增益属性!$N:$N,0))</f>
        <v>0.47</v>
      </c>
      <c r="AC13" s="36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6896.898</v>
      </c>
      <c r="AD13" s="29" cm="1">
        <f t="array" ref="AD13">$C$10+VLOOKUP(K13,技能属性!$A:$Z,3,FALSE)+SUM(_xlfn.XLOOKUP(L13:Z13,增益属性!$A:$A,增益属性!$B:$B))</f>
        <v>0.16</v>
      </c>
      <c r="AE13" s="29" cm="1">
        <f t="array" ref="AE13">$C$11+VLOOKUP(K13,技能属性!$A:$AB,4,FALSE)+SUM(_xlfn.XLOOKUP(L13:Z13,增益属性!$A:$A,增益属性!$C:$C))</f>
        <v>1.5</v>
      </c>
      <c r="AF13" s="29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0.7045</v>
      </c>
      <c r="AG13" s="29" cm="1">
        <f t="array" ref="AG13">IF(VLOOKUP(K13,技能属性!$A:$Z,8,FALSE)=0,0,$C$12+SUM(_xlfn.XLOOKUP(L13:Z13,增益属性!$A:$A,增益属性!$F:$F)))</f>
        <v>0</v>
      </c>
      <c r="AH13" s="29" cm="1">
        <f t="array" ref="AH13">VLOOKUP(K13,技能属性!$A:$Z,9,FALSE)+SUM(_xlfn.XLOOKUP(L13:Z13,增益属性!$A:$A,增益属性!$G:$G))</f>
        <v>0</v>
      </c>
      <c r="AI13" s="29" cm="1">
        <f t="array" ref="AI13">VLOOKUP(K13,技能属性!$A:$Z,10,FALSE)+SUM(_xlfn.XLOOKUP(L13:Z13,增益属性!$A:$A,增益属性!$H:$H))</f>
        <v>0</v>
      </c>
      <c r="AJ13" s="29" cm="1">
        <f t="array" ref="AJ13">VLOOKUP(K13,技能属性!$A:$Z,11,FALSE)+SUM(_xlfn.XLOOKUP(L13:Z13,增益属性!$A:$A,增益属性!$I:$I))</f>
        <v>0</v>
      </c>
      <c r="AK13" s="29" cm="1">
        <f t="array" ref="AK13">VLOOKUP(K13,技能属性!$A:$Z,12,FALSE)+SUM(_xlfn.XLOOKUP(L13:Z13,增益属性!$A:$A,增益属性!$J:$J))</f>
        <v>0</v>
      </c>
      <c r="AL13" s="29" cm="1">
        <f t="array" ref="AL13">VLOOKUP(K13,技能属性!$A:$Z,13,FALSE)+SUM(_xlfn.XLOOKUP(L13:Z13,增益属性!$A:$A,增益属性!$K:$K))</f>
        <v>0</v>
      </c>
      <c r="AM13" s="29" cm="1">
        <f t="array" ref="AM13">VLOOKUP(K13,技能属性!$A:$Z,14,FALSE)+SUM(_xlfn.XLOOKUP(L13:Z13,增益属性!$A:$A,增益属性!$L:$L))</f>
        <v>0</v>
      </c>
      <c r="AN13" s="29" cm="1">
        <f t="array" ref="AN13">VLOOKUP(K13,技能属性!$A:$Z,15,FALSE)+SUM(_xlfn.XLOOKUP(L13:Z13,增益属性!$A:$A,增益属性!$M:$M))</f>
        <v>0</v>
      </c>
    </row>
    <row r="14" customHeight="1" spans="1:40">
      <c r="A14" s="48" t="s">
        <v>72</v>
      </c>
      <c r="B14" s="30" t="s">
        <v>73</v>
      </c>
      <c r="C14" s="29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0.7045</v>
      </c>
      <c r="G14" s="36">
        <f t="shared" si="0"/>
        <v>0</v>
      </c>
      <c r="H14" s="36">
        <f t="shared" si="1"/>
        <v>0</v>
      </c>
      <c r="I14" s="36">
        <f t="shared" si="2"/>
        <v>0</v>
      </c>
      <c r="J14" s="49">
        <v>1</v>
      </c>
      <c r="K14" s="45" t="s">
        <v>43</v>
      </c>
      <c r="L14" s="45" t="s">
        <v>43</v>
      </c>
      <c r="M14" s="45" t="s">
        <v>43</v>
      </c>
      <c r="N14" s="45" t="s">
        <v>43</v>
      </c>
      <c r="O14" s="45" t="s">
        <v>43</v>
      </c>
      <c r="P14" s="45" t="s">
        <v>43</v>
      </c>
      <c r="Q14" s="45" t="s">
        <v>43</v>
      </c>
      <c r="R14" s="45" t="s">
        <v>43</v>
      </c>
      <c r="S14" s="45" t="s">
        <v>43</v>
      </c>
      <c r="T14" s="45" t="s">
        <v>43</v>
      </c>
      <c r="U14" s="45" t="s">
        <v>43</v>
      </c>
      <c r="V14" s="45" t="s">
        <v>43</v>
      </c>
      <c r="W14" s="45" t="s">
        <v>43</v>
      </c>
      <c r="X14" s="45" t="s">
        <v>43</v>
      </c>
      <c r="Y14" s="45" t="s">
        <v>43</v>
      </c>
      <c r="Z14" s="46" t="s">
        <v>43</v>
      </c>
      <c r="AA14" s="50">
        <f>VLOOKUP(K14,技能属性!$A:$AB,2,FALSE)</f>
        <v>0</v>
      </c>
      <c r="AB14" s="50" cm="1">
        <f t="array" ref="AB14">$C$8+SUM(_xlfn.XLOOKUP(L14:Z14,增益属性!$A:$A,增益属性!$N:$N,0))</f>
        <v>0.47</v>
      </c>
      <c r="AC14" s="36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6896.898</v>
      </c>
      <c r="AD14" s="29" cm="1">
        <f t="array" ref="AD14">$C$10+VLOOKUP(K14,技能属性!$A:$Z,3,FALSE)+SUM(_xlfn.XLOOKUP(L14:Z14,增益属性!$A:$A,增益属性!$B:$B))</f>
        <v>0.16</v>
      </c>
      <c r="AE14" s="29" cm="1">
        <f t="array" ref="AE14">$C$11+VLOOKUP(K14,技能属性!$A:$AB,4,FALSE)+SUM(_xlfn.XLOOKUP(L14:Z14,增益属性!$A:$A,增益属性!$C:$C))</f>
        <v>1.5</v>
      </c>
      <c r="AF14" s="29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0.7045</v>
      </c>
      <c r="AG14" s="29" cm="1">
        <f t="array" ref="AG14">IF(VLOOKUP(K14,技能属性!$A:$Z,8,FALSE)=0,0,$C$12+SUM(_xlfn.XLOOKUP(L14:Z14,增益属性!$A:$A,增益属性!$F:$F)))</f>
        <v>0</v>
      </c>
      <c r="AH14" s="29" cm="1">
        <f t="array" ref="AH14">VLOOKUP(K14,技能属性!$A:$Z,9,FALSE)+SUM(_xlfn.XLOOKUP(L14:Z14,增益属性!$A:$A,增益属性!$G:$G))</f>
        <v>0</v>
      </c>
      <c r="AI14" s="29" cm="1">
        <f t="array" ref="AI14">VLOOKUP(K14,技能属性!$A:$Z,10,FALSE)+SUM(_xlfn.XLOOKUP(L14:Z14,增益属性!$A:$A,增益属性!$H:$H))</f>
        <v>0</v>
      </c>
      <c r="AJ14" s="29" cm="1">
        <f t="array" ref="AJ14">VLOOKUP(K14,技能属性!$A:$Z,11,FALSE)+SUM(_xlfn.XLOOKUP(L14:Z14,增益属性!$A:$A,增益属性!$I:$I))</f>
        <v>0</v>
      </c>
      <c r="AK14" s="29" cm="1">
        <f t="array" ref="AK14">VLOOKUP(K14,技能属性!$A:$Z,12,FALSE)+SUM(_xlfn.XLOOKUP(L14:Z14,增益属性!$A:$A,增益属性!$J:$J))</f>
        <v>0</v>
      </c>
      <c r="AL14" s="29" cm="1">
        <f t="array" ref="AL14">VLOOKUP(K14,技能属性!$A:$Z,13,FALSE)+SUM(_xlfn.XLOOKUP(L14:Z14,增益属性!$A:$A,增益属性!$K:$K))</f>
        <v>0</v>
      </c>
      <c r="AM14" s="29" cm="1">
        <f t="array" ref="AM14">VLOOKUP(K14,技能属性!$A:$Z,14,FALSE)+SUM(_xlfn.XLOOKUP(L14:Z14,增益属性!$A:$A,增益属性!$L:$L))</f>
        <v>0</v>
      </c>
      <c r="AN14" s="29" cm="1">
        <f t="array" ref="AN14">VLOOKUP(K14,技能属性!$A:$Z,15,FALSE)+SUM(_xlfn.XLOOKUP(L14:Z14,增益属性!$A:$A,增益属性!$M:$M))</f>
        <v>0</v>
      </c>
    </row>
    <row r="15" customHeight="1" spans="1:40">
      <c r="A15" s="65" t="s">
        <v>74</v>
      </c>
      <c r="B15" s="30" t="s">
        <v>75</v>
      </c>
      <c r="C15" s="29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</v>
      </c>
      <c r="G15" s="36">
        <f t="shared" si="0"/>
        <v>0</v>
      </c>
      <c r="H15" s="36">
        <f t="shared" si="1"/>
        <v>0</v>
      </c>
      <c r="I15" s="36">
        <f t="shared" si="2"/>
        <v>0</v>
      </c>
      <c r="J15" s="49">
        <v>1</v>
      </c>
      <c r="K15" s="45" t="s">
        <v>43</v>
      </c>
      <c r="L15" s="45" t="s">
        <v>43</v>
      </c>
      <c r="M15" s="45" t="s">
        <v>43</v>
      </c>
      <c r="N15" s="45" t="s">
        <v>43</v>
      </c>
      <c r="O15" s="45" t="s">
        <v>43</v>
      </c>
      <c r="P15" s="45" t="s">
        <v>43</v>
      </c>
      <c r="Q15" s="45" t="s">
        <v>43</v>
      </c>
      <c r="R15" s="45" t="s">
        <v>43</v>
      </c>
      <c r="S15" s="45" t="s">
        <v>43</v>
      </c>
      <c r="T15" s="45" t="s">
        <v>43</v>
      </c>
      <c r="U15" s="45" t="s">
        <v>43</v>
      </c>
      <c r="V15" s="45" t="s">
        <v>43</v>
      </c>
      <c r="W15" s="45" t="s">
        <v>43</v>
      </c>
      <c r="X15" s="45" t="s">
        <v>43</v>
      </c>
      <c r="Y15" s="45" t="s">
        <v>43</v>
      </c>
      <c r="Z15" s="46" t="s">
        <v>43</v>
      </c>
      <c r="AA15" s="50">
        <f>VLOOKUP(K15,技能属性!$A:$AB,2,FALSE)</f>
        <v>0</v>
      </c>
      <c r="AB15" s="50" cm="1">
        <f t="array" ref="AB15">$C$8+SUM(_xlfn.XLOOKUP(L15:Z15,增益属性!$A:$A,增益属性!$N:$N,0))</f>
        <v>0.47</v>
      </c>
      <c r="AC15" s="36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6896.898</v>
      </c>
      <c r="AD15" s="29" cm="1">
        <f t="array" ref="AD15">$C$10+VLOOKUP(K15,技能属性!$A:$Z,3,FALSE)+SUM(_xlfn.XLOOKUP(L15:Z15,增益属性!$A:$A,增益属性!$B:$B))</f>
        <v>0.16</v>
      </c>
      <c r="AE15" s="29" cm="1">
        <f t="array" ref="AE15">$C$11+VLOOKUP(K15,技能属性!$A:$AB,4,FALSE)+SUM(_xlfn.XLOOKUP(L15:Z15,增益属性!$A:$A,增益属性!$C:$C))</f>
        <v>1.5</v>
      </c>
      <c r="AF15" s="29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0.7045</v>
      </c>
      <c r="AG15" s="29" cm="1">
        <f t="array" ref="AG15">IF(VLOOKUP(K15,技能属性!$A:$Z,8,FALSE)=0,0,$C$12+SUM(_xlfn.XLOOKUP(L15:Z15,增益属性!$A:$A,增益属性!$F:$F)))</f>
        <v>0</v>
      </c>
      <c r="AH15" s="29" cm="1">
        <f t="array" ref="AH15">VLOOKUP(K15,技能属性!$A:$Z,9,FALSE)+SUM(_xlfn.XLOOKUP(L15:Z15,增益属性!$A:$A,增益属性!$G:$G))</f>
        <v>0</v>
      </c>
      <c r="AI15" s="29" cm="1">
        <f t="array" ref="AI15">VLOOKUP(K15,技能属性!$A:$Z,10,FALSE)+SUM(_xlfn.XLOOKUP(L15:Z15,增益属性!$A:$A,增益属性!$H:$H))</f>
        <v>0</v>
      </c>
      <c r="AJ15" s="29" cm="1">
        <f t="array" ref="AJ15">VLOOKUP(K15,技能属性!$A:$Z,11,FALSE)+SUM(_xlfn.XLOOKUP(L15:Z15,增益属性!$A:$A,增益属性!$I:$I))</f>
        <v>0</v>
      </c>
      <c r="AK15" s="29" cm="1">
        <f t="array" ref="AK15">VLOOKUP(K15,技能属性!$A:$Z,12,FALSE)+SUM(_xlfn.XLOOKUP(L15:Z15,增益属性!$A:$A,增益属性!$J:$J))</f>
        <v>0</v>
      </c>
      <c r="AL15" s="29" cm="1">
        <f t="array" ref="AL15">VLOOKUP(K15,技能属性!$A:$Z,13,FALSE)+SUM(_xlfn.XLOOKUP(L15:Z15,增益属性!$A:$A,增益属性!$K:$K))</f>
        <v>0</v>
      </c>
      <c r="AM15" s="29" cm="1">
        <f t="array" ref="AM15">VLOOKUP(K15,技能属性!$A:$Z,14,FALSE)+SUM(_xlfn.XLOOKUP(L15:Z15,增益属性!$A:$A,增益属性!$L:$L))</f>
        <v>0</v>
      </c>
      <c r="AN15" s="29" cm="1">
        <f t="array" ref="AN15">VLOOKUP(K15,技能属性!$A:$Z,15,FALSE)+SUM(_xlfn.XLOOKUP(L15:Z15,增益属性!$A:$A,增益属性!$M:$M))</f>
        <v>0</v>
      </c>
    </row>
    <row r="16" customHeight="1" spans="1:40">
      <c r="A16" s="66" t="s">
        <v>76</v>
      </c>
      <c r="B16" s="30" t="s">
        <v>77</v>
      </c>
      <c r="C16" s="29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</v>
      </c>
      <c r="G16" s="36">
        <f t="shared" si="0"/>
        <v>0</v>
      </c>
      <c r="H16" s="36">
        <f t="shared" si="1"/>
        <v>0</v>
      </c>
      <c r="I16" s="36">
        <f t="shared" si="2"/>
        <v>0</v>
      </c>
      <c r="J16" s="49">
        <v>1</v>
      </c>
      <c r="K16" s="45" t="s">
        <v>43</v>
      </c>
      <c r="L16" s="45" t="s">
        <v>43</v>
      </c>
      <c r="M16" s="45" t="s">
        <v>43</v>
      </c>
      <c r="N16" s="45" t="s">
        <v>43</v>
      </c>
      <c r="O16" s="45" t="s">
        <v>43</v>
      </c>
      <c r="P16" s="45" t="s">
        <v>43</v>
      </c>
      <c r="Q16" s="45" t="s">
        <v>43</v>
      </c>
      <c r="R16" s="45" t="s">
        <v>43</v>
      </c>
      <c r="S16" s="45" t="s">
        <v>43</v>
      </c>
      <c r="T16" s="45" t="s">
        <v>43</v>
      </c>
      <c r="U16" s="45" t="s">
        <v>43</v>
      </c>
      <c r="V16" s="45" t="s">
        <v>43</v>
      </c>
      <c r="W16" s="45" t="s">
        <v>43</v>
      </c>
      <c r="X16" s="45" t="s">
        <v>43</v>
      </c>
      <c r="Y16" s="45" t="s">
        <v>43</v>
      </c>
      <c r="Z16" s="46" t="s">
        <v>43</v>
      </c>
      <c r="AA16" s="50">
        <f>VLOOKUP(K16,技能属性!$A:$AB,2,FALSE)</f>
        <v>0</v>
      </c>
      <c r="AB16" s="50" cm="1">
        <f t="array" ref="AB16">$C$8+SUM(_xlfn.XLOOKUP(L16:Z16,增益属性!$A:$A,增益属性!$N:$N,0))</f>
        <v>0.47</v>
      </c>
      <c r="AC16" s="36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6896.898</v>
      </c>
      <c r="AD16" s="29" cm="1">
        <f t="array" ref="AD16">$C$10+VLOOKUP(K16,技能属性!$A:$Z,3,FALSE)+SUM(_xlfn.XLOOKUP(L16:Z16,增益属性!$A:$A,增益属性!$B:$B))</f>
        <v>0.16</v>
      </c>
      <c r="AE16" s="29" cm="1">
        <f t="array" ref="AE16">$C$11+VLOOKUP(K16,技能属性!$A:$AB,4,FALSE)+SUM(_xlfn.XLOOKUP(L16:Z16,增益属性!$A:$A,增益属性!$C:$C))</f>
        <v>1.5</v>
      </c>
      <c r="AF16" s="29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0.7045</v>
      </c>
      <c r="AG16" s="29" cm="1">
        <f t="array" ref="AG16">IF(VLOOKUP(K16,技能属性!$A:$Z,8,FALSE)=0,0,$C$12+SUM(_xlfn.XLOOKUP(L16:Z16,增益属性!$A:$A,增益属性!$F:$F)))</f>
        <v>0</v>
      </c>
      <c r="AH16" s="29" cm="1">
        <f t="array" ref="AH16">VLOOKUP(K16,技能属性!$A:$Z,9,FALSE)+SUM(_xlfn.XLOOKUP(L16:Z16,增益属性!$A:$A,增益属性!$G:$G))</f>
        <v>0</v>
      </c>
      <c r="AI16" s="29" cm="1">
        <f t="array" ref="AI16">VLOOKUP(K16,技能属性!$A:$Z,10,FALSE)+SUM(_xlfn.XLOOKUP(L16:Z16,增益属性!$A:$A,增益属性!$H:$H))</f>
        <v>0</v>
      </c>
      <c r="AJ16" s="29" cm="1">
        <f t="array" ref="AJ16">VLOOKUP(K16,技能属性!$A:$Z,11,FALSE)+SUM(_xlfn.XLOOKUP(L16:Z16,增益属性!$A:$A,增益属性!$I:$I))</f>
        <v>0</v>
      </c>
      <c r="AK16" s="29" cm="1">
        <f t="array" ref="AK16">VLOOKUP(K16,技能属性!$A:$Z,12,FALSE)+SUM(_xlfn.XLOOKUP(L16:Z16,增益属性!$A:$A,增益属性!$J:$J))</f>
        <v>0</v>
      </c>
      <c r="AL16" s="29" cm="1">
        <f t="array" ref="AL16">VLOOKUP(K16,技能属性!$A:$Z,13,FALSE)+SUM(_xlfn.XLOOKUP(L16:Z16,增益属性!$A:$A,增益属性!$K:$K))</f>
        <v>0</v>
      </c>
      <c r="AM16" s="29" cm="1">
        <f t="array" ref="AM16">VLOOKUP(K16,技能属性!$A:$Z,14,FALSE)+SUM(_xlfn.XLOOKUP(L16:Z16,增益属性!$A:$A,增益属性!$L:$L))</f>
        <v>0</v>
      </c>
      <c r="AN16" s="29" cm="1">
        <f t="array" ref="AN16">VLOOKUP(K16,技能属性!$A:$Z,15,FALSE)+SUM(_xlfn.XLOOKUP(L16:Z16,增益属性!$A:$A,增益属性!$M:$M))</f>
        <v>0</v>
      </c>
    </row>
    <row r="17" customHeight="1" spans="2:40">
      <c r="B17" s="30" t="s">
        <v>78</v>
      </c>
      <c r="C17" s="29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</v>
      </c>
      <c r="G17" s="36">
        <f t="shared" si="0"/>
        <v>0</v>
      </c>
      <c r="H17" s="36">
        <f t="shared" si="1"/>
        <v>0</v>
      </c>
      <c r="I17" s="36">
        <f t="shared" si="2"/>
        <v>0</v>
      </c>
      <c r="J17" s="49">
        <v>1</v>
      </c>
      <c r="K17" s="45" t="s">
        <v>43</v>
      </c>
      <c r="L17" s="45" t="s">
        <v>43</v>
      </c>
      <c r="M17" s="45" t="s">
        <v>43</v>
      </c>
      <c r="N17" s="45" t="s">
        <v>43</v>
      </c>
      <c r="O17" s="45" t="s">
        <v>43</v>
      </c>
      <c r="P17" s="45" t="s">
        <v>43</v>
      </c>
      <c r="Q17" s="45" t="s">
        <v>43</v>
      </c>
      <c r="R17" s="45" t="s">
        <v>43</v>
      </c>
      <c r="S17" s="45" t="s">
        <v>43</v>
      </c>
      <c r="T17" s="45" t="s">
        <v>43</v>
      </c>
      <c r="U17" s="45" t="s">
        <v>43</v>
      </c>
      <c r="V17" s="45" t="s">
        <v>43</v>
      </c>
      <c r="W17" s="45" t="s">
        <v>43</v>
      </c>
      <c r="X17" s="45" t="s">
        <v>43</v>
      </c>
      <c r="Y17" s="45" t="s">
        <v>43</v>
      </c>
      <c r="Z17" s="46" t="s">
        <v>43</v>
      </c>
      <c r="AA17" s="50">
        <f>VLOOKUP(K17,技能属性!$A:$AB,2,FALSE)</f>
        <v>0</v>
      </c>
      <c r="AB17" s="50" cm="1">
        <f t="array" ref="AB17">$C$8+SUM(_xlfn.XLOOKUP(L17:Z17,增益属性!$A:$A,增益属性!$N:$N,0))</f>
        <v>0.47</v>
      </c>
      <c r="AC17" s="36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6896.898</v>
      </c>
      <c r="AD17" s="29" cm="1">
        <f t="array" ref="AD17">$C$10+VLOOKUP(K17,技能属性!$A:$Z,3,FALSE)+SUM(_xlfn.XLOOKUP(L17:Z17,增益属性!$A:$A,增益属性!$B:$B))</f>
        <v>0.16</v>
      </c>
      <c r="AE17" s="29" cm="1">
        <f t="array" ref="AE17">$C$11+VLOOKUP(K17,技能属性!$A:$AB,4,FALSE)+SUM(_xlfn.XLOOKUP(L17:Z17,增益属性!$A:$A,增益属性!$C:$C))</f>
        <v>1.5</v>
      </c>
      <c r="AF17" s="29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0.7045</v>
      </c>
      <c r="AG17" s="29" cm="1">
        <f t="array" ref="AG17">IF(VLOOKUP(K17,技能属性!$A:$Z,8,FALSE)=0,0,$C$12+SUM(_xlfn.XLOOKUP(L17:Z17,增益属性!$A:$A,增益属性!$F:$F)))</f>
        <v>0</v>
      </c>
      <c r="AH17" s="29" cm="1">
        <f t="array" ref="AH17">VLOOKUP(K17,技能属性!$A:$Z,9,FALSE)+SUM(_xlfn.XLOOKUP(L17:Z17,增益属性!$A:$A,增益属性!$G:$G))</f>
        <v>0</v>
      </c>
      <c r="AI17" s="29" cm="1">
        <f t="array" ref="AI17">VLOOKUP(K17,技能属性!$A:$Z,10,FALSE)+SUM(_xlfn.XLOOKUP(L17:Z17,增益属性!$A:$A,增益属性!$H:$H))</f>
        <v>0</v>
      </c>
      <c r="AJ17" s="29" cm="1">
        <f t="array" ref="AJ17">VLOOKUP(K17,技能属性!$A:$Z,11,FALSE)+SUM(_xlfn.XLOOKUP(L17:Z17,增益属性!$A:$A,增益属性!$I:$I))</f>
        <v>0</v>
      </c>
      <c r="AK17" s="29" cm="1">
        <f t="array" ref="AK17">VLOOKUP(K17,技能属性!$A:$Z,12,FALSE)+SUM(_xlfn.XLOOKUP(L17:Z17,增益属性!$A:$A,增益属性!$J:$J))</f>
        <v>0</v>
      </c>
      <c r="AL17" s="29" cm="1">
        <f t="array" ref="AL17">VLOOKUP(K17,技能属性!$A:$Z,13,FALSE)+SUM(_xlfn.XLOOKUP(L17:Z17,增益属性!$A:$A,增益属性!$K:$K))</f>
        <v>0</v>
      </c>
      <c r="AM17" s="29" cm="1">
        <f t="array" ref="AM17">VLOOKUP(K17,技能属性!$A:$Z,14,FALSE)+SUM(_xlfn.XLOOKUP(L17:Z17,增益属性!$A:$A,增益属性!$L:$L))</f>
        <v>0</v>
      </c>
      <c r="AN17" s="29" cm="1">
        <f t="array" ref="AN17">VLOOKUP(K17,技能属性!$A:$Z,15,FALSE)+SUM(_xlfn.XLOOKUP(L17:Z17,增益属性!$A:$A,增益属性!$M:$M))</f>
        <v>0</v>
      </c>
    </row>
    <row r="18" customHeight="1" spans="2:40">
      <c r="B18" s="30" t="s">
        <v>79</v>
      </c>
      <c r="C18" s="29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</v>
      </c>
      <c r="G18" s="36">
        <f t="shared" si="0"/>
        <v>0</v>
      </c>
      <c r="H18" s="36">
        <f t="shared" si="1"/>
        <v>0</v>
      </c>
      <c r="I18" s="36">
        <f t="shared" si="2"/>
        <v>0</v>
      </c>
      <c r="J18" s="49">
        <v>1</v>
      </c>
      <c r="K18" s="45" t="s">
        <v>43</v>
      </c>
      <c r="L18" s="45" t="s">
        <v>43</v>
      </c>
      <c r="M18" s="45" t="s">
        <v>43</v>
      </c>
      <c r="N18" s="45" t="s">
        <v>43</v>
      </c>
      <c r="O18" s="45" t="s">
        <v>43</v>
      </c>
      <c r="P18" s="45" t="s">
        <v>43</v>
      </c>
      <c r="Q18" s="45" t="s">
        <v>43</v>
      </c>
      <c r="R18" s="45" t="s">
        <v>43</v>
      </c>
      <c r="S18" s="45" t="s">
        <v>43</v>
      </c>
      <c r="T18" s="45" t="s">
        <v>43</v>
      </c>
      <c r="U18" s="45" t="s">
        <v>43</v>
      </c>
      <c r="V18" s="45" t="s">
        <v>43</v>
      </c>
      <c r="W18" s="45" t="s">
        <v>43</v>
      </c>
      <c r="X18" s="45" t="s">
        <v>43</v>
      </c>
      <c r="Y18" s="45" t="s">
        <v>43</v>
      </c>
      <c r="Z18" s="46" t="s">
        <v>43</v>
      </c>
      <c r="AA18" s="50">
        <f>VLOOKUP(K18,技能属性!$A:$AB,2,FALSE)</f>
        <v>0</v>
      </c>
      <c r="AB18" s="50" cm="1">
        <f t="array" ref="AB18">$C$8+SUM(_xlfn.XLOOKUP(L18:Z18,增益属性!$A:$A,增益属性!$N:$N,0))</f>
        <v>0.47</v>
      </c>
      <c r="AC18" s="36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6896.898</v>
      </c>
      <c r="AD18" s="29" cm="1">
        <f t="array" ref="AD18">$C$10+VLOOKUP(K18,技能属性!$A:$Z,3,FALSE)+SUM(_xlfn.XLOOKUP(L18:Z18,增益属性!$A:$A,增益属性!$B:$B))</f>
        <v>0.16</v>
      </c>
      <c r="AE18" s="29" cm="1">
        <f t="array" ref="AE18">$C$11+VLOOKUP(K18,技能属性!$A:$AB,4,FALSE)+SUM(_xlfn.XLOOKUP(L18:Z18,增益属性!$A:$A,增益属性!$C:$C))</f>
        <v>1.5</v>
      </c>
      <c r="AF18" s="29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0.7045</v>
      </c>
      <c r="AG18" s="29" cm="1">
        <f t="array" ref="AG18">IF(VLOOKUP(K18,技能属性!$A:$Z,8,FALSE)=0,0,$C$12+SUM(_xlfn.XLOOKUP(L18:Z18,增益属性!$A:$A,增益属性!$F:$F)))</f>
        <v>0</v>
      </c>
      <c r="AH18" s="29" cm="1">
        <f t="array" ref="AH18">VLOOKUP(K18,技能属性!$A:$Z,9,FALSE)+SUM(_xlfn.XLOOKUP(L18:Z18,增益属性!$A:$A,增益属性!$G:$G))</f>
        <v>0</v>
      </c>
      <c r="AI18" s="29" cm="1">
        <f t="array" ref="AI18">VLOOKUP(K18,技能属性!$A:$Z,10,FALSE)+SUM(_xlfn.XLOOKUP(L18:Z18,增益属性!$A:$A,增益属性!$H:$H))</f>
        <v>0</v>
      </c>
      <c r="AJ18" s="29" cm="1">
        <f t="array" ref="AJ18">VLOOKUP(K18,技能属性!$A:$Z,11,FALSE)+SUM(_xlfn.XLOOKUP(L18:Z18,增益属性!$A:$A,增益属性!$I:$I))</f>
        <v>0</v>
      </c>
      <c r="AK18" s="29" cm="1">
        <f t="array" ref="AK18">VLOOKUP(K18,技能属性!$A:$Z,12,FALSE)+SUM(_xlfn.XLOOKUP(L18:Z18,增益属性!$A:$A,增益属性!$J:$J))</f>
        <v>0</v>
      </c>
      <c r="AL18" s="29" cm="1">
        <f t="array" ref="AL18">VLOOKUP(K18,技能属性!$A:$Z,13,FALSE)+SUM(_xlfn.XLOOKUP(L18:Z18,增益属性!$A:$A,增益属性!$K:$K))</f>
        <v>0</v>
      </c>
      <c r="AM18" s="29" cm="1">
        <f t="array" ref="AM18">VLOOKUP(K18,技能属性!$A:$Z,14,FALSE)+SUM(_xlfn.XLOOKUP(L18:Z18,增益属性!$A:$A,增益属性!$L:$L))</f>
        <v>0</v>
      </c>
      <c r="AN18" s="29" cm="1">
        <f t="array" ref="AN18">VLOOKUP(K18,技能属性!$A:$Z,15,FALSE)+SUM(_xlfn.XLOOKUP(L18:Z18,增益属性!$A:$A,增益属性!$M:$M))</f>
        <v>0</v>
      </c>
    </row>
    <row r="19" customHeight="1" spans="2:40">
      <c r="B19" s="30" t="s">
        <v>80</v>
      </c>
      <c r="C19" s="29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6">
        <f t="shared" si="0"/>
        <v>0</v>
      </c>
      <c r="H19" s="36">
        <f t="shared" si="1"/>
        <v>0</v>
      </c>
      <c r="I19" s="36">
        <f t="shared" si="2"/>
        <v>0</v>
      </c>
      <c r="J19" s="49">
        <v>1</v>
      </c>
      <c r="K19" s="45" t="s">
        <v>43</v>
      </c>
      <c r="L19" s="45" t="s">
        <v>43</v>
      </c>
      <c r="M19" s="45" t="s">
        <v>43</v>
      </c>
      <c r="N19" s="45" t="s">
        <v>43</v>
      </c>
      <c r="O19" s="45" t="s">
        <v>43</v>
      </c>
      <c r="P19" s="45" t="s">
        <v>43</v>
      </c>
      <c r="Q19" s="45" t="s">
        <v>43</v>
      </c>
      <c r="R19" s="45" t="s">
        <v>43</v>
      </c>
      <c r="S19" s="45" t="s">
        <v>43</v>
      </c>
      <c r="T19" s="45" t="s">
        <v>43</v>
      </c>
      <c r="U19" s="45" t="s">
        <v>43</v>
      </c>
      <c r="V19" s="45" t="s">
        <v>43</v>
      </c>
      <c r="W19" s="45" t="s">
        <v>43</v>
      </c>
      <c r="X19" s="45" t="s">
        <v>43</v>
      </c>
      <c r="Y19" s="45" t="s">
        <v>43</v>
      </c>
      <c r="Z19" s="46" t="s">
        <v>43</v>
      </c>
      <c r="AA19" s="50">
        <f>VLOOKUP(K19,技能属性!$A:$AB,2,FALSE)</f>
        <v>0</v>
      </c>
      <c r="AB19" s="50" cm="1">
        <f t="array" ref="AB19">$C$8+SUM(_xlfn.XLOOKUP(L19:Z19,增益属性!$A:$A,增益属性!$N:$N,0))</f>
        <v>0.47</v>
      </c>
      <c r="AC19" s="36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6896.898</v>
      </c>
      <c r="AD19" s="29" cm="1">
        <f t="array" ref="AD19">$C$10+VLOOKUP(K19,技能属性!$A:$Z,3,FALSE)+SUM(_xlfn.XLOOKUP(L19:Z19,增益属性!$A:$A,增益属性!$B:$B))</f>
        <v>0.16</v>
      </c>
      <c r="AE19" s="29" cm="1">
        <f t="array" ref="AE19">$C$11+VLOOKUP(K19,技能属性!$A:$AB,4,FALSE)+SUM(_xlfn.XLOOKUP(L19:Z19,增益属性!$A:$A,增益属性!$C:$C))</f>
        <v>1.5</v>
      </c>
      <c r="AF19" s="29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0.7045</v>
      </c>
      <c r="AG19" s="29" cm="1">
        <f t="array" ref="AG19">IF(VLOOKUP(K19,技能属性!$A:$Z,8,FALSE)=0,0,$C$12+SUM(_xlfn.XLOOKUP(L19:Z19,增益属性!$A:$A,增益属性!$F:$F)))</f>
        <v>0</v>
      </c>
      <c r="AH19" s="29" cm="1">
        <f t="array" ref="AH19">VLOOKUP(K19,技能属性!$A:$Z,9,FALSE)+SUM(_xlfn.XLOOKUP(L19:Z19,增益属性!$A:$A,增益属性!$G:$G))</f>
        <v>0</v>
      </c>
      <c r="AI19" s="29" cm="1">
        <f t="array" ref="AI19">VLOOKUP(K19,技能属性!$A:$Z,10,FALSE)+SUM(_xlfn.XLOOKUP(L19:Z19,增益属性!$A:$A,增益属性!$H:$H))</f>
        <v>0</v>
      </c>
      <c r="AJ19" s="29" cm="1">
        <f t="array" ref="AJ19">VLOOKUP(K19,技能属性!$A:$Z,11,FALSE)+SUM(_xlfn.XLOOKUP(L19:Z19,增益属性!$A:$A,增益属性!$I:$I))</f>
        <v>0</v>
      </c>
      <c r="AK19" s="29" cm="1">
        <f t="array" ref="AK19">VLOOKUP(K19,技能属性!$A:$Z,12,FALSE)+SUM(_xlfn.XLOOKUP(L19:Z19,增益属性!$A:$A,增益属性!$J:$J))</f>
        <v>0</v>
      </c>
      <c r="AL19" s="29" cm="1">
        <f t="array" ref="AL19">VLOOKUP(K19,技能属性!$A:$Z,13,FALSE)+SUM(_xlfn.XLOOKUP(L19:Z19,增益属性!$A:$A,增益属性!$K:$K))</f>
        <v>0</v>
      </c>
      <c r="AM19" s="29" cm="1">
        <f t="array" ref="AM19">VLOOKUP(K19,技能属性!$A:$Z,14,FALSE)+SUM(_xlfn.XLOOKUP(L19:Z19,增益属性!$A:$A,增益属性!$L:$L))</f>
        <v>0</v>
      </c>
      <c r="AN19" s="29" cm="1">
        <f t="array" ref="AN19">VLOOKUP(K19,技能属性!$A:$Z,15,FALSE)+SUM(_xlfn.XLOOKUP(L19:Z19,增益属性!$A:$A,增益属性!$M:$M))</f>
        <v>0</v>
      </c>
    </row>
    <row r="20" customHeight="1" spans="2:40">
      <c r="B20" s="30" t="s">
        <v>81</v>
      </c>
      <c r="C20" s="29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</v>
      </c>
      <c r="G20" s="36">
        <f t="shared" si="0"/>
        <v>0</v>
      </c>
      <c r="H20" s="36">
        <f t="shared" si="1"/>
        <v>0</v>
      </c>
      <c r="I20" s="36">
        <f t="shared" si="2"/>
        <v>0</v>
      </c>
      <c r="J20" s="49">
        <v>1</v>
      </c>
      <c r="K20" s="45" t="s">
        <v>43</v>
      </c>
      <c r="L20" s="45" t="s">
        <v>43</v>
      </c>
      <c r="M20" s="45" t="s">
        <v>43</v>
      </c>
      <c r="N20" s="45" t="s">
        <v>43</v>
      </c>
      <c r="O20" s="45" t="s">
        <v>43</v>
      </c>
      <c r="P20" s="45" t="s">
        <v>43</v>
      </c>
      <c r="Q20" s="45" t="s">
        <v>43</v>
      </c>
      <c r="R20" s="45" t="s">
        <v>43</v>
      </c>
      <c r="S20" s="45" t="s">
        <v>43</v>
      </c>
      <c r="T20" s="45" t="s">
        <v>43</v>
      </c>
      <c r="U20" s="45" t="s">
        <v>43</v>
      </c>
      <c r="V20" s="45" t="s">
        <v>43</v>
      </c>
      <c r="W20" s="45" t="s">
        <v>43</v>
      </c>
      <c r="X20" s="45" t="s">
        <v>43</v>
      </c>
      <c r="Y20" s="45" t="s">
        <v>43</v>
      </c>
      <c r="Z20" s="46" t="s">
        <v>43</v>
      </c>
      <c r="AA20" s="50">
        <f>VLOOKUP(K20,技能属性!$A:$AB,2,FALSE)</f>
        <v>0</v>
      </c>
      <c r="AB20" s="50" cm="1">
        <f t="array" ref="AB20">$C$8+SUM(_xlfn.XLOOKUP(L20:Z20,增益属性!$A:$A,增益属性!$N:$N,0))</f>
        <v>0.47</v>
      </c>
      <c r="AC20" s="36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6896.898</v>
      </c>
      <c r="AD20" s="29" cm="1">
        <f t="array" ref="AD20">$C$10+VLOOKUP(K20,技能属性!$A:$Z,3,FALSE)+SUM(_xlfn.XLOOKUP(L20:Z20,增益属性!$A:$A,增益属性!$B:$B))</f>
        <v>0.16</v>
      </c>
      <c r="AE20" s="29" cm="1">
        <f t="array" ref="AE20">$C$11+VLOOKUP(K20,技能属性!$A:$AB,4,FALSE)+SUM(_xlfn.XLOOKUP(L20:Z20,增益属性!$A:$A,增益属性!$C:$C))</f>
        <v>1.5</v>
      </c>
      <c r="AF20" s="29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0.7045</v>
      </c>
      <c r="AG20" s="29" cm="1">
        <f t="array" ref="AG20">IF(VLOOKUP(K20,技能属性!$A:$Z,8,FALSE)=0,0,$C$12+SUM(_xlfn.XLOOKUP(L20:Z20,增益属性!$A:$A,增益属性!$F:$F)))</f>
        <v>0</v>
      </c>
      <c r="AH20" s="29" cm="1">
        <f t="array" ref="AH20">VLOOKUP(K20,技能属性!$A:$Z,9,FALSE)+SUM(_xlfn.XLOOKUP(L20:Z20,增益属性!$A:$A,增益属性!$G:$G))</f>
        <v>0</v>
      </c>
      <c r="AI20" s="29" cm="1">
        <f t="array" ref="AI20">VLOOKUP(K20,技能属性!$A:$Z,10,FALSE)+SUM(_xlfn.XLOOKUP(L20:Z20,增益属性!$A:$A,增益属性!$H:$H))</f>
        <v>0</v>
      </c>
      <c r="AJ20" s="29" cm="1">
        <f t="array" ref="AJ20">VLOOKUP(K20,技能属性!$A:$Z,11,FALSE)+SUM(_xlfn.XLOOKUP(L20:Z20,增益属性!$A:$A,增益属性!$I:$I))</f>
        <v>0</v>
      </c>
      <c r="AK20" s="29" cm="1">
        <f t="array" ref="AK20">VLOOKUP(K20,技能属性!$A:$Z,12,FALSE)+SUM(_xlfn.XLOOKUP(L20:Z20,增益属性!$A:$A,增益属性!$J:$J))</f>
        <v>0</v>
      </c>
      <c r="AL20" s="29" cm="1">
        <f t="array" ref="AL20">VLOOKUP(K20,技能属性!$A:$Z,13,FALSE)+SUM(_xlfn.XLOOKUP(L20:Z20,增益属性!$A:$A,增益属性!$K:$K))</f>
        <v>0</v>
      </c>
      <c r="AM20" s="29" cm="1">
        <f t="array" ref="AM20">VLOOKUP(K20,技能属性!$A:$Z,14,FALSE)+SUM(_xlfn.XLOOKUP(L20:Z20,增益属性!$A:$A,增益属性!$L:$L))</f>
        <v>0</v>
      </c>
      <c r="AN20" s="29" cm="1">
        <f t="array" ref="AN20">VLOOKUP(K20,技能属性!$A:$Z,15,FALSE)+SUM(_xlfn.XLOOKUP(L20:Z20,增益属性!$A:$A,增益属性!$M:$M))</f>
        <v>0</v>
      </c>
    </row>
    <row r="21" customHeight="1" spans="2:40">
      <c r="B21" s="30" t="s">
        <v>82</v>
      </c>
      <c r="C21" s="29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</v>
      </c>
      <c r="G21" s="36">
        <f t="shared" si="0"/>
        <v>0</v>
      </c>
      <c r="H21" s="36">
        <f t="shared" si="1"/>
        <v>0</v>
      </c>
      <c r="I21" s="36">
        <f t="shared" si="2"/>
        <v>0</v>
      </c>
      <c r="J21" s="49">
        <v>1</v>
      </c>
      <c r="K21" s="45" t="s">
        <v>43</v>
      </c>
      <c r="L21" s="45" t="s">
        <v>43</v>
      </c>
      <c r="M21" s="45" t="s">
        <v>43</v>
      </c>
      <c r="N21" s="45" t="s">
        <v>43</v>
      </c>
      <c r="O21" s="45" t="s">
        <v>43</v>
      </c>
      <c r="P21" s="45" t="s">
        <v>43</v>
      </c>
      <c r="Q21" s="45" t="s">
        <v>43</v>
      </c>
      <c r="R21" s="45" t="s">
        <v>43</v>
      </c>
      <c r="S21" s="45" t="s">
        <v>43</v>
      </c>
      <c r="T21" s="45" t="s">
        <v>43</v>
      </c>
      <c r="U21" s="45" t="s">
        <v>43</v>
      </c>
      <c r="V21" s="45" t="s">
        <v>43</v>
      </c>
      <c r="W21" s="45" t="s">
        <v>43</v>
      </c>
      <c r="X21" s="45" t="s">
        <v>43</v>
      </c>
      <c r="Y21" s="45" t="s">
        <v>43</v>
      </c>
      <c r="Z21" s="46" t="s">
        <v>43</v>
      </c>
      <c r="AA21" s="50">
        <f>VLOOKUP(K21,技能属性!$A:$AB,2,FALSE)</f>
        <v>0</v>
      </c>
      <c r="AB21" s="50" cm="1">
        <f t="array" ref="AB21">$C$8+SUM(_xlfn.XLOOKUP(L21:Z21,增益属性!$A:$A,增益属性!$N:$N,0))</f>
        <v>0.47</v>
      </c>
      <c r="AC21" s="36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6896.898</v>
      </c>
      <c r="AD21" s="29" cm="1">
        <f t="array" ref="AD21">$C$10+VLOOKUP(K21,技能属性!$A:$Z,3,FALSE)+SUM(_xlfn.XLOOKUP(L21:Z21,增益属性!$A:$A,增益属性!$B:$B))</f>
        <v>0.16</v>
      </c>
      <c r="AE21" s="29" cm="1">
        <f t="array" ref="AE21">$C$11+VLOOKUP(K21,技能属性!$A:$AB,4,FALSE)+SUM(_xlfn.XLOOKUP(L21:Z21,增益属性!$A:$A,增益属性!$C:$C))</f>
        <v>1.5</v>
      </c>
      <c r="AF21" s="29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0.7045</v>
      </c>
      <c r="AG21" s="29" cm="1">
        <f t="array" ref="AG21">IF(VLOOKUP(K21,技能属性!$A:$Z,8,FALSE)=0,0,$C$12+SUM(_xlfn.XLOOKUP(L21:Z21,增益属性!$A:$A,增益属性!$F:$F)))</f>
        <v>0</v>
      </c>
      <c r="AH21" s="29" cm="1">
        <f t="array" ref="AH21">VLOOKUP(K21,技能属性!$A:$Z,9,FALSE)+SUM(_xlfn.XLOOKUP(L21:Z21,增益属性!$A:$A,增益属性!$G:$G))</f>
        <v>0</v>
      </c>
      <c r="AI21" s="29" cm="1">
        <f t="array" ref="AI21">VLOOKUP(K21,技能属性!$A:$Z,10,FALSE)+SUM(_xlfn.XLOOKUP(L21:Z21,增益属性!$A:$A,增益属性!$H:$H))</f>
        <v>0</v>
      </c>
      <c r="AJ21" s="29" cm="1">
        <f t="array" ref="AJ21">VLOOKUP(K21,技能属性!$A:$Z,11,FALSE)+SUM(_xlfn.XLOOKUP(L21:Z21,增益属性!$A:$A,增益属性!$I:$I))</f>
        <v>0</v>
      </c>
      <c r="AK21" s="29" cm="1">
        <f t="array" ref="AK21">VLOOKUP(K21,技能属性!$A:$Z,12,FALSE)+SUM(_xlfn.XLOOKUP(L21:Z21,增益属性!$A:$A,增益属性!$J:$J))</f>
        <v>0</v>
      </c>
      <c r="AL21" s="29" cm="1">
        <f t="array" ref="AL21">VLOOKUP(K21,技能属性!$A:$Z,13,FALSE)+SUM(_xlfn.XLOOKUP(L21:Z21,增益属性!$A:$A,增益属性!$K:$K))</f>
        <v>0</v>
      </c>
      <c r="AM21" s="29" cm="1">
        <f t="array" ref="AM21">VLOOKUP(K21,技能属性!$A:$Z,14,FALSE)+SUM(_xlfn.XLOOKUP(L21:Z21,增益属性!$A:$A,增益属性!$L:$L))</f>
        <v>0</v>
      </c>
      <c r="AN21" s="29" cm="1">
        <f t="array" ref="AN21">VLOOKUP(K21,技能属性!$A:$Z,15,FALSE)+SUM(_xlfn.XLOOKUP(L21:Z21,增益属性!$A:$A,增益属性!$M:$M))</f>
        <v>0</v>
      </c>
    </row>
    <row r="22" customHeight="1" spans="2:40">
      <c r="B22" s="30" t="s">
        <v>83</v>
      </c>
      <c r="C22" s="29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</v>
      </c>
      <c r="G22" s="36">
        <f t="shared" si="0"/>
        <v>0</v>
      </c>
      <c r="H22" s="36">
        <f t="shared" si="1"/>
        <v>0</v>
      </c>
      <c r="I22" s="36">
        <f t="shared" si="2"/>
        <v>0</v>
      </c>
      <c r="J22" s="49">
        <v>1</v>
      </c>
      <c r="K22" s="45" t="s">
        <v>43</v>
      </c>
      <c r="L22" s="45" t="s">
        <v>43</v>
      </c>
      <c r="M22" s="45" t="s">
        <v>43</v>
      </c>
      <c r="N22" s="45" t="s">
        <v>43</v>
      </c>
      <c r="O22" s="45" t="s">
        <v>43</v>
      </c>
      <c r="P22" s="45" t="s">
        <v>43</v>
      </c>
      <c r="Q22" s="45" t="s">
        <v>43</v>
      </c>
      <c r="R22" s="45" t="s">
        <v>43</v>
      </c>
      <c r="S22" s="45" t="s">
        <v>43</v>
      </c>
      <c r="T22" s="45" t="s">
        <v>43</v>
      </c>
      <c r="U22" s="45" t="s">
        <v>43</v>
      </c>
      <c r="V22" s="45" t="s">
        <v>43</v>
      </c>
      <c r="W22" s="45" t="s">
        <v>43</v>
      </c>
      <c r="X22" s="45" t="s">
        <v>43</v>
      </c>
      <c r="Y22" s="45" t="s">
        <v>43</v>
      </c>
      <c r="Z22" s="46" t="s">
        <v>43</v>
      </c>
      <c r="AA22" s="50">
        <f>VLOOKUP(K22,技能属性!$A:$AB,2,FALSE)</f>
        <v>0</v>
      </c>
      <c r="AB22" s="50" cm="1">
        <f t="array" ref="AB22">$C$8+SUM(_xlfn.XLOOKUP(L22:Z22,增益属性!$A:$A,增益属性!$N:$N,0))</f>
        <v>0.47</v>
      </c>
      <c r="AC22" s="36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6896.898</v>
      </c>
      <c r="AD22" s="29" cm="1">
        <f t="array" ref="AD22">$C$10+VLOOKUP(K22,技能属性!$A:$Z,3,FALSE)+SUM(_xlfn.XLOOKUP(L22:Z22,增益属性!$A:$A,增益属性!$B:$B))</f>
        <v>0.16</v>
      </c>
      <c r="AE22" s="29" cm="1">
        <f t="array" ref="AE22">$C$11+VLOOKUP(K22,技能属性!$A:$AB,4,FALSE)+SUM(_xlfn.XLOOKUP(L22:Z22,增益属性!$A:$A,增益属性!$C:$C))</f>
        <v>1.5</v>
      </c>
      <c r="AF22" s="29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0.7045</v>
      </c>
      <c r="AG22" s="29" cm="1">
        <f t="array" ref="AG22">IF(VLOOKUP(K22,技能属性!$A:$Z,8,FALSE)=0,0,$C$12+SUM(_xlfn.XLOOKUP(L22:Z22,增益属性!$A:$A,增益属性!$F:$F)))</f>
        <v>0</v>
      </c>
      <c r="AH22" s="29" cm="1">
        <f t="array" ref="AH22">VLOOKUP(K22,技能属性!$A:$Z,9,FALSE)+SUM(_xlfn.XLOOKUP(L22:Z22,增益属性!$A:$A,增益属性!$G:$G))</f>
        <v>0</v>
      </c>
      <c r="AI22" s="29" cm="1">
        <f t="array" ref="AI22">VLOOKUP(K22,技能属性!$A:$Z,10,FALSE)+SUM(_xlfn.XLOOKUP(L22:Z22,增益属性!$A:$A,增益属性!$H:$H))</f>
        <v>0</v>
      </c>
      <c r="AJ22" s="29" cm="1">
        <f t="array" ref="AJ22">VLOOKUP(K22,技能属性!$A:$Z,11,FALSE)+SUM(_xlfn.XLOOKUP(L22:Z22,增益属性!$A:$A,增益属性!$I:$I))</f>
        <v>0</v>
      </c>
      <c r="AK22" s="29" cm="1">
        <f t="array" ref="AK22">VLOOKUP(K22,技能属性!$A:$Z,12,FALSE)+SUM(_xlfn.XLOOKUP(L22:Z22,增益属性!$A:$A,增益属性!$J:$J))</f>
        <v>0</v>
      </c>
      <c r="AL22" s="29" cm="1">
        <f t="array" ref="AL22">VLOOKUP(K22,技能属性!$A:$Z,13,FALSE)+SUM(_xlfn.XLOOKUP(L22:Z22,增益属性!$A:$A,增益属性!$K:$K))</f>
        <v>0</v>
      </c>
      <c r="AM22" s="29" cm="1">
        <f t="array" ref="AM22">VLOOKUP(K22,技能属性!$A:$Z,14,FALSE)+SUM(_xlfn.XLOOKUP(L22:Z22,增益属性!$A:$A,增益属性!$L:$L))</f>
        <v>0</v>
      </c>
      <c r="AN22" s="29" cm="1">
        <f t="array" ref="AN22">VLOOKUP(K22,技能属性!$A:$Z,15,FALSE)+SUM(_xlfn.XLOOKUP(L22:Z22,增益属性!$A:$A,增益属性!$M:$M))</f>
        <v>0</v>
      </c>
    </row>
    <row r="23" customHeight="1" spans="2:40">
      <c r="B23" s="30" t="s">
        <v>84</v>
      </c>
      <c r="C23" s="29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</v>
      </c>
      <c r="G23" s="36">
        <f t="shared" si="0"/>
        <v>0</v>
      </c>
      <c r="H23" s="36">
        <f t="shared" si="1"/>
        <v>0</v>
      </c>
      <c r="I23" s="36">
        <f t="shared" si="2"/>
        <v>0</v>
      </c>
      <c r="J23" s="49">
        <v>1</v>
      </c>
      <c r="K23" s="45" t="s">
        <v>43</v>
      </c>
      <c r="L23" s="45" t="s">
        <v>43</v>
      </c>
      <c r="M23" s="45" t="s">
        <v>43</v>
      </c>
      <c r="N23" s="45" t="s">
        <v>43</v>
      </c>
      <c r="O23" s="45" t="s">
        <v>43</v>
      </c>
      <c r="P23" s="45" t="s">
        <v>43</v>
      </c>
      <c r="Q23" s="45" t="s">
        <v>43</v>
      </c>
      <c r="R23" s="45" t="s">
        <v>43</v>
      </c>
      <c r="S23" s="45" t="s">
        <v>43</v>
      </c>
      <c r="T23" s="45" t="s">
        <v>43</v>
      </c>
      <c r="U23" s="45" t="s">
        <v>43</v>
      </c>
      <c r="V23" s="45" t="s">
        <v>43</v>
      </c>
      <c r="W23" s="45" t="s">
        <v>43</v>
      </c>
      <c r="X23" s="45" t="s">
        <v>43</v>
      </c>
      <c r="Y23" s="45" t="s">
        <v>43</v>
      </c>
      <c r="Z23" s="46" t="s">
        <v>43</v>
      </c>
      <c r="AA23" s="50">
        <f>VLOOKUP(K23,技能属性!$A:$AB,2,FALSE)</f>
        <v>0</v>
      </c>
      <c r="AB23" s="50" cm="1">
        <f t="array" ref="AB23">$C$8+SUM(_xlfn.XLOOKUP(L23:Z23,增益属性!$A:$A,增益属性!$N:$N,0))</f>
        <v>0.47</v>
      </c>
      <c r="AC23" s="36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6896.898</v>
      </c>
      <c r="AD23" s="29" cm="1">
        <f t="array" ref="AD23">$C$10+VLOOKUP(K23,技能属性!$A:$Z,3,FALSE)+SUM(_xlfn.XLOOKUP(L23:Z23,增益属性!$A:$A,增益属性!$B:$B))</f>
        <v>0.16</v>
      </c>
      <c r="AE23" s="29" cm="1">
        <f t="array" ref="AE23">$C$11+VLOOKUP(K23,技能属性!$A:$AB,4,FALSE)+SUM(_xlfn.XLOOKUP(L23:Z23,增益属性!$A:$A,增益属性!$C:$C))</f>
        <v>1.5</v>
      </c>
      <c r="AF23" s="29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0.7045</v>
      </c>
      <c r="AG23" s="29" cm="1">
        <f t="array" ref="AG23">IF(VLOOKUP(K23,技能属性!$A:$Z,8,FALSE)=0,0,$C$12+SUM(_xlfn.XLOOKUP(L23:Z23,增益属性!$A:$A,增益属性!$F:$F)))</f>
        <v>0</v>
      </c>
      <c r="AH23" s="29" cm="1">
        <f t="array" ref="AH23">VLOOKUP(K23,技能属性!$A:$Z,9,FALSE)+SUM(_xlfn.XLOOKUP(L23:Z23,增益属性!$A:$A,增益属性!$G:$G))</f>
        <v>0</v>
      </c>
      <c r="AI23" s="29" cm="1">
        <f t="array" ref="AI23">VLOOKUP(K23,技能属性!$A:$Z,10,FALSE)+SUM(_xlfn.XLOOKUP(L23:Z23,增益属性!$A:$A,增益属性!$H:$H))</f>
        <v>0</v>
      </c>
      <c r="AJ23" s="29" cm="1">
        <f t="array" ref="AJ23">VLOOKUP(K23,技能属性!$A:$Z,11,FALSE)+SUM(_xlfn.XLOOKUP(L23:Z23,增益属性!$A:$A,增益属性!$I:$I))</f>
        <v>0</v>
      </c>
      <c r="AK23" s="29" cm="1">
        <f t="array" ref="AK23">VLOOKUP(K23,技能属性!$A:$Z,12,FALSE)+SUM(_xlfn.XLOOKUP(L23:Z23,增益属性!$A:$A,增益属性!$J:$J))</f>
        <v>0</v>
      </c>
      <c r="AL23" s="29" cm="1">
        <f t="array" ref="AL23">VLOOKUP(K23,技能属性!$A:$Z,13,FALSE)+SUM(_xlfn.XLOOKUP(L23:Z23,增益属性!$A:$A,增益属性!$K:$K))</f>
        <v>0</v>
      </c>
      <c r="AM23" s="29" cm="1">
        <f t="array" ref="AM23">VLOOKUP(K23,技能属性!$A:$Z,14,FALSE)+SUM(_xlfn.XLOOKUP(L23:Z23,增益属性!$A:$A,增益属性!$L:$L))</f>
        <v>0</v>
      </c>
      <c r="AN23" s="29" cm="1">
        <f t="array" ref="AN23">VLOOKUP(K23,技能属性!$A:$Z,15,FALSE)+SUM(_xlfn.XLOOKUP(L23:Z23,增益属性!$A:$A,增益属性!$M:$M))</f>
        <v>0</v>
      </c>
    </row>
    <row r="24" customHeight="1" spans="2:40">
      <c r="B24" s="30" t="s">
        <v>85</v>
      </c>
      <c r="C24" s="29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</v>
      </c>
      <c r="G24" s="36">
        <f t="shared" si="0"/>
        <v>0</v>
      </c>
      <c r="H24" s="36">
        <f t="shared" si="1"/>
        <v>0</v>
      </c>
      <c r="I24" s="36">
        <f t="shared" si="2"/>
        <v>0</v>
      </c>
      <c r="J24" s="49">
        <v>1</v>
      </c>
      <c r="K24" s="45" t="s">
        <v>43</v>
      </c>
      <c r="L24" s="45" t="s">
        <v>43</v>
      </c>
      <c r="M24" s="45" t="s">
        <v>43</v>
      </c>
      <c r="N24" s="45" t="s">
        <v>43</v>
      </c>
      <c r="O24" s="45" t="s">
        <v>43</v>
      </c>
      <c r="P24" s="45" t="s">
        <v>43</v>
      </c>
      <c r="Q24" s="45" t="s">
        <v>43</v>
      </c>
      <c r="R24" s="45" t="s">
        <v>43</v>
      </c>
      <c r="S24" s="45" t="s">
        <v>43</v>
      </c>
      <c r="T24" s="45" t="s">
        <v>43</v>
      </c>
      <c r="U24" s="45" t="s">
        <v>43</v>
      </c>
      <c r="V24" s="45" t="s">
        <v>43</v>
      </c>
      <c r="W24" s="45" t="s">
        <v>43</v>
      </c>
      <c r="X24" s="45" t="s">
        <v>43</v>
      </c>
      <c r="Y24" s="45" t="s">
        <v>43</v>
      </c>
      <c r="Z24" s="46" t="s">
        <v>43</v>
      </c>
      <c r="AA24" s="50">
        <f>VLOOKUP(K24,技能属性!$A:$AB,2,FALSE)</f>
        <v>0</v>
      </c>
      <c r="AB24" s="50" cm="1">
        <f t="array" ref="AB24">$C$8+SUM(_xlfn.XLOOKUP(L24:Z24,增益属性!$A:$A,增益属性!$N:$N,0))</f>
        <v>0.47</v>
      </c>
      <c r="AC24" s="36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6896.898</v>
      </c>
      <c r="AD24" s="29" cm="1">
        <f t="array" ref="AD24">$C$10+VLOOKUP(K24,技能属性!$A:$Z,3,FALSE)+SUM(_xlfn.XLOOKUP(L24:Z24,增益属性!$A:$A,增益属性!$B:$B))</f>
        <v>0.16</v>
      </c>
      <c r="AE24" s="29" cm="1">
        <f t="array" ref="AE24">$C$11+VLOOKUP(K24,技能属性!$A:$AB,4,FALSE)+SUM(_xlfn.XLOOKUP(L24:Z24,增益属性!$A:$A,增益属性!$C:$C))</f>
        <v>1.5</v>
      </c>
      <c r="AF24" s="29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0.7045</v>
      </c>
      <c r="AG24" s="29" cm="1">
        <f t="array" ref="AG24">IF(VLOOKUP(K24,技能属性!$A:$Z,8,FALSE)=0,0,$C$12+SUM(_xlfn.XLOOKUP(L24:Z24,增益属性!$A:$A,增益属性!$F:$F)))</f>
        <v>0</v>
      </c>
      <c r="AH24" s="29" cm="1">
        <f t="array" ref="AH24">VLOOKUP(K24,技能属性!$A:$Z,9,FALSE)+SUM(_xlfn.XLOOKUP(L24:Z24,增益属性!$A:$A,增益属性!$G:$G))</f>
        <v>0</v>
      </c>
      <c r="AI24" s="29" cm="1">
        <f t="array" ref="AI24">VLOOKUP(K24,技能属性!$A:$Z,10,FALSE)+SUM(_xlfn.XLOOKUP(L24:Z24,增益属性!$A:$A,增益属性!$H:$H))</f>
        <v>0</v>
      </c>
      <c r="AJ24" s="29" cm="1">
        <f t="array" ref="AJ24">VLOOKUP(K24,技能属性!$A:$Z,11,FALSE)+SUM(_xlfn.XLOOKUP(L24:Z24,增益属性!$A:$A,增益属性!$I:$I))</f>
        <v>0</v>
      </c>
      <c r="AK24" s="29" cm="1">
        <f t="array" ref="AK24">VLOOKUP(K24,技能属性!$A:$Z,12,FALSE)+SUM(_xlfn.XLOOKUP(L24:Z24,增益属性!$A:$A,增益属性!$J:$J))</f>
        <v>0</v>
      </c>
      <c r="AL24" s="29" cm="1">
        <f t="array" ref="AL24">VLOOKUP(K24,技能属性!$A:$Z,13,FALSE)+SUM(_xlfn.XLOOKUP(L24:Z24,增益属性!$A:$A,增益属性!$K:$K))</f>
        <v>0</v>
      </c>
      <c r="AM24" s="29" cm="1">
        <f t="array" ref="AM24">VLOOKUP(K24,技能属性!$A:$Z,14,FALSE)+SUM(_xlfn.XLOOKUP(L24:Z24,增益属性!$A:$A,增益属性!$L:$L))</f>
        <v>0</v>
      </c>
      <c r="AN24" s="29" cm="1">
        <f t="array" ref="AN24">VLOOKUP(K24,技能属性!$A:$Z,15,FALSE)+SUM(_xlfn.XLOOKUP(L24:Z24,增益属性!$A:$A,增益属性!$M:$M))</f>
        <v>0</v>
      </c>
    </row>
    <row r="25" customHeight="1" spans="2:40">
      <c r="B25" s="30" t="s">
        <v>86</v>
      </c>
      <c r="C25" s="29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6">
        <f t="shared" si="0"/>
        <v>0</v>
      </c>
      <c r="H25" s="36">
        <f t="shared" si="1"/>
        <v>0</v>
      </c>
      <c r="I25" s="36">
        <f t="shared" si="2"/>
        <v>0</v>
      </c>
      <c r="J25" s="49">
        <v>1</v>
      </c>
      <c r="K25" s="45" t="s">
        <v>43</v>
      </c>
      <c r="L25" s="45" t="s">
        <v>43</v>
      </c>
      <c r="M25" s="45" t="s">
        <v>43</v>
      </c>
      <c r="N25" s="45" t="s">
        <v>43</v>
      </c>
      <c r="O25" s="45" t="s">
        <v>43</v>
      </c>
      <c r="P25" s="45" t="s">
        <v>43</v>
      </c>
      <c r="Q25" s="45" t="s">
        <v>43</v>
      </c>
      <c r="R25" s="45" t="s">
        <v>43</v>
      </c>
      <c r="S25" s="45" t="s">
        <v>43</v>
      </c>
      <c r="T25" s="45" t="s">
        <v>43</v>
      </c>
      <c r="U25" s="45" t="s">
        <v>43</v>
      </c>
      <c r="V25" s="45" t="s">
        <v>43</v>
      </c>
      <c r="W25" s="45" t="s">
        <v>43</v>
      </c>
      <c r="X25" s="45" t="s">
        <v>43</v>
      </c>
      <c r="Y25" s="45" t="s">
        <v>43</v>
      </c>
      <c r="Z25" s="46" t="s">
        <v>43</v>
      </c>
      <c r="AA25" s="50">
        <f>VLOOKUP(K25,技能属性!$A:$AB,2,FALSE)</f>
        <v>0</v>
      </c>
      <c r="AB25" s="50" cm="1">
        <f t="array" ref="AB25">$C$8+SUM(_xlfn.XLOOKUP(L25:Z25,增益属性!$A:$A,增益属性!$N:$N,0))</f>
        <v>0.47</v>
      </c>
      <c r="AC25" s="36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6896.898</v>
      </c>
      <c r="AD25" s="29" cm="1">
        <f t="array" ref="AD25">$C$10+VLOOKUP(K25,技能属性!$A:$Z,3,FALSE)+SUM(_xlfn.XLOOKUP(L25:Z25,增益属性!$A:$A,增益属性!$B:$B))</f>
        <v>0.16</v>
      </c>
      <c r="AE25" s="29" cm="1">
        <f t="array" ref="AE25">$C$11+VLOOKUP(K25,技能属性!$A:$AB,4,FALSE)+SUM(_xlfn.XLOOKUP(L25:Z25,增益属性!$A:$A,增益属性!$C:$C))</f>
        <v>1.5</v>
      </c>
      <c r="AF25" s="29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0.7045</v>
      </c>
      <c r="AG25" s="29" cm="1">
        <f t="array" ref="AG25">IF(VLOOKUP(K25,技能属性!$A:$Z,8,FALSE)=0,0,$C$12+SUM(_xlfn.XLOOKUP(L25:Z25,增益属性!$A:$A,增益属性!$F:$F)))</f>
        <v>0</v>
      </c>
      <c r="AH25" s="29" cm="1">
        <f t="array" ref="AH25">VLOOKUP(K25,技能属性!$A:$Z,9,FALSE)+SUM(_xlfn.XLOOKUP(L25:Z25,增益属性!$A:$A,增益属性!$G:$G))</f>
        <v>0</v>
      </c>
      <c r="AI25" s="29" cm="1">
        <f t="array" ref="AI25">VLOOKUP(K25,技能属性!$A:$Z,10,FALSE)+SUM(_xlfn.XLOOKUP(L25:Z25,增益属性!$A:$A,增益属性!$H:$H))</f>
        <v>0</v>
      </c>
      <c r="AJ25" s="29" cm="1">
        <f t="array" ref="AJ25">VLOOKUP(K25,技能属性!$A:$Z,11,FALSE)+SUM(_xlfn.XLOOKUP(L25:Z25,增益属性!$A:$A,增益属性!$I:$I))</f>
        <v>0</v>
      </c>
      <c r="AK25" s="29" cm="1">
        <f t="array" ref="AK25">VLOOKUP(K25,技能属性!$A:$Z,12,FALSE)+SUM(_xlfn.XLOOKUP(L25:Z25,增益属性!$A:$A,增益属性!$J:$J))</f>
        <v>0</v>
      </c>
      <c r="AL25" s="29" cm="1">
        <f t="array" ref="AL25">VLOOKUP(K25,技能属性!$A:$Z,13,FALSE)+SUM(_xlfn.XLOOKUP(L25:Z25,增益属性!$A:$A,增益属性!$K:$K))</f>
        <v>0</v>
      </c>
      <c r="AM25" s="29" cm="1">
        <f t="array" ref="AM25">VLOOKUP(K25,技能属性!$A:$Z,14,FALSE)+SUM(_xlfn.XLOOKUP(L25:Z25,增益属性!$A:$A,增益属性!$L:$L))</f>
        <v>0</v>
      </c>
      <c r="AN25" s="29" cm="1">
        <f t="array" ref="AN25">VLOOKUP(K25,技能属性!$A:$Z,15,FALSE)+SUM(_xlfn.XLOOKUP(L25:Z25,增益属性!$A:$A,增益属性!$M:$M))</f>
        <v>0</v>
      </c>
    </row>
    <row r="26" customHeight="1" spans="2:40">
      <c r="G26" s="36">
        <f t="shared" si="0"/>
        <v>0</v>
      </c>
      <c r="H26" s="36">
        <f t="shared" si="1"/>
        <v>0</v>
      </c>
      <c r="I26" s="36">
        <f t="shared" si="2"/>
        <v>0</v>
      </c>
      <c r="J26" s="49">
        <v>1</v>
      </c>
      <c r="K26" s="45" t="s">
        <v>43</v>
      </c>
      <c r="L26" s="45" t="s">
        <v>43</v>
      </c>
      <c r="M26" s="45" t="s">
        <v>43</v>
      </c>
      <c r="N26" s="45" t="s">
        <v>43</v>
      </c>
      <c r="O26" s="45" t="s">
        <v>43</v>
      </c>
      <c r="P26" s="45" t="s">
        <v>43</v>
      </c>
      <c r="Q26" s="45" t="s">
        <v>43</v>
      </c>
      <c r="R26" s="45" t="s">
        <v>43</v>
      </c>
      <c r="S26" s="45" t="s">
        <v>43</v>
      </c>
      <c r="T26" s="45" t="s">
        <v>43</v>
      </c>
      <c r="U26" s="45" t="s">
        <v>43</v>
      </c>
      <c r="V26" s="45" t="s">
        <v>43</v>
      </c>
      <c r="W26" s="45" t="s">
        <v>43</v>
      </c>
      <c r="X26" s="45" t="s">
        <v>43</v>
      </c>
      <c r="Y26" s="45" t="s">
        <v>43</v>
      </c>
      <c r="Z26" s="46" t="s">
        <v>43</v>
      </c>
      <c r="AA26" s="50">
        <f>VLOOKUP(K26,技能属性!$A:$AB,2,FALSE)</f>
        <v>0</v>
      </c>
      <c r="AB26" s="50" cm="1">
        <f t="array" ref="AB26">$C$8+SUM(_xlfn.XLOOKUP(L26:Z26,增益属性!$A:$A,增益属性!$N:$N,0))</f>
        <v>0.47</v>
      </c>
      <c r="AC26" s="36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6896.898</v>
      </c>
      <c r="AD26" s="29" cm="1">
        <f t="array" ref="AD26">$C$10+VLOOKUP(K26,技能属性!$A:$Z,3,FALSE)+SUM(_xlfn.XLOOKUP(L26:Z26,增益属性!$A:$A,增益属性!$B:$B))</f>
        <v>0.16</v>
      </c>
      <c r="AE26" s="29" cm="1">
        <f t="array" ref="AE26">$C$11+VLOOKUP(K26,技能属性!$A:$AB,4,FALSE)+SUM(_xlfn.XLOOKUP(L26:Z26,增益属性!$A:$A,增益属性!$C:$C))</f>
        <v>1.5</v>
      </c>
      <c r="AF26" s="29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0.7045</v>
      </c>
      <c r="AG26" s="29" cm="1">
        <f t="array" ref="AG26">IF(VLOOKUP(K26,技能属性!$A:$Z,8,FALSE)=0,0,$C$12+SUM(_xlfn.XLOOKUP(L26:Z26,增益属性!$A:$A,增益属性!$F:$F)))</f>
        <v>0</v>
      </c>
      <c r="AH26" s="29" cm="1">
        <f t="array" ref="AH26">VLOOKUP(K26,技能属性!$A:$Z,9,FALSE)+SUM(_xlfn.XLOOKUP(L26:Z26,增益属性!$A:$A,增益属性!$G:$G))</f>
        <v>0</v>
      </c>
      <c r="AI26" s="29" cm="1">
        <f t="array" ref="AI26">VLOOKUP(K26,技能属性!$A:$Z,10,FALSE)+SUM(_xlfn.XLOOKUP(L26:Z26,增益属性!$A:$A,增益属性!$H:$H))</f>
        <v>0</v>
      </c>
      <c r="AJ26" s="29" cm="1">
        <f t="array" ref="AJ26">VLOOKUP(K26,技能属性!$A:$Z,11,FALSE)+SUM(_xlfn.XLOOKUP(L26:Z26,增益属性!$A:$A,增益属性!$I:$I))</f>
        <v>0</v>
      </c>
      <c r="AK26" s="29" cm="1">
        <f t="array" ref="AK26">VLOOKUP(K26,技能属性!$A:$Z,12,FALSE)+SUM(_xlfn.XLOOKUP(L26:Z26,增益属性!$A:$A,增益属性!$J:$J))</f>
        <v>0</v>
      </c>
      <c r="AL26" s="29" cm="1">
        <f t="array" ref="AL26">VLOOKUP(K26,技能属性!$A:$Z,13,FALSE)+SUM(_xlfn.XLOOKUP(L26:Z26,增益属性!$A:$A,增益属性!$K:$K))</f>
        <v>0</v>
      </c>
      <c r="AM26" s="29" cm="1">
        <f t="array" ref="AM26">VLOOKUP(K26,技能属性!$A:$Z,14,FALSE)+SUM(_xlfn.XLOOKUP(L26:Z26,增益属性!$A:$A,增益属性!$L:$L))</f>
        <v>0</v>
      </c>
      <c r="AN26" s="29" cm="1">
        <f t="array" ref="AN26">VLOOKUP(K26,技能属性!$A:$Z,15,FALSE)+SUM(_xlfn.XLOOKUP(L26:Z26,增益属性!$A:$A,增益属性!$M:$M))</f>
        <v>0</v>
      </c>
    </row>
    <row r="27" customHeight="1" spans="2:40">
      <c r="B27" t="s">
        <v>87</v>
      </c>
      <c r="C27" s="30">
        <f>VLOOKUP($A$16,食物属性!$A:$Z,2,FALSE)</f>
        <v>180</v>
      </c>
      <c r="G27" s="36">
        <f t="shared" si="0"/>
        <v>0</v>
      </c>
      <c r="H27" s="36">
        <f t="shared" si="1"/>
        <v>0</v>
      </c>
      <c r="I27" s="36">
        <f t="shared" si="2"/>
        <v>0</v>
      </c>
      <c r="J27" s="49">
        <v>1</v>
      </c>
      <c r="K27" s="45" t="s">
        <v>43</v>
      </c>
      <c r="L27" s="45" t="s">
        <v>43</v>
      </c>
      <c r="M27" s="45" t="s">
        <v>43</v>
      </c>
      <c r="N27" s="45" t="s">
        <v>43</v>
      </c>
      <c r="O27" s="45" t="s">
        <v>43</v>
      </c>
      <c r="P27" s="45" t="s">
        <v>43</v>
      </c>
      <c r="Q27" s="45" t="s">
        <v>43</v>
      </c>
      <c r="R27" s="45" t="s">
        <v>43</v>
      </c>
      <c r="S27" s="45" t="s">
        <v>43</v>
      </c>
      <c r="T27" s="45" t="s">
        <v>43</v>
      </c>
      <c r="U27" s="45" t="s">
        <v>43</v>
      </c>
      <c r="V27" s="45" t="s">
        <v>43</v>
      </c>
      <c r="W27" s="45" t="s">
        <v>43</v>
      </c>
      <c r="X27" s="45" t="s">
        <v>43</v>
      </c>
      <c r="Y27" s="45" t="s">
        <v>43</v>
      </c>
      <c r="Z27" s="46" t="s">
        <v>43</v>
      </c>
      <c r="AA27" s="50">
        <f>VLOOKUP(K27,技能属性!$A:$AB,2,FALSE)</f>
        <v>0</v>
      </c>
      <c r="AB27" s="50" cm="1">
        <f t="array" ref="AB27">$C$8+SUM(_xlfn.XLOOKUP(L27:Z27,增益属性!$A:$A,增益属性!$N:$N,0))</f>
        <v>0.47</v>
      </c>
      <c r="AC27" s="36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6896.898</v>
      </c>
      <c r="AD27" s="29" cm="1">
        <f t="array" ref="AD27">$C$10+VLOOKUP(K27,技能属性!$A:$Z,3,FALSE)+SUM(_xlfn.XLOOKUP(L27:Z27,增益属性!$A:$A,增益属性!$B:$B))</f>
        <v>0.16</v>
      </c>
      <c r="AE27" s="29" cm="1">
        <f t="array" ref="AE27">$C$11+VLOOKUP(K27,技能属性!$A:$AB,4,FALSE)+SUM(_xlfn.XLOOKUP(L27:Z27,增益属性!$A:$A,增益属性!$C:$C))</f>
        <v>1.5</v>
      </c>
      <c r="AF27" s="29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0.7045</v>
      </c>
      <c r="AG27" s="29" cm="1">
        <f t="array" ref="AG27">IF(VLOOKUP(K27,技能属性!$A:$Z,8,FALSE)=0,0,$C$12+SUM(_xlfn.XLOOKUP(L27:Z27,增益属性!$A:$A,增益属性!$F:$F)))</f>
        <v>0</v>
      </c>
      <c r="AH27" s="29" cm="1">
        <f t="array" ref="AH27">VLOOKUP(K27,技能属性!$A:$Z,9,FALSE)+SUM(_xlfn.XLOOKUP(L27:Z27,增益属性!$A:$A,增益属性!$G:$G))</f>
        <v>0</v>
      </c>
      <c r="AI27" s="29" cm="1">
        <f t="array" ref="AI27">VLOOKUP(K27,技能属性!$A:$Z,10,FALSE)+SUM(_xlfn.XLOOKUP(L27:Z27,增益属性!$A:$A,增益属性!$H:$H))</f>
        <v>0</v>
      </c>
      <c r="AJ27" s="29" cm="1">
        <f t="array" ref="AJ27">VLOOKUP(K27,技能属性!$A:$Z,11,FALSE)+SUM(_xlfn.XLOOKUP(L27:Z27,增益属性!$A:$A,增益属性!$I:$I))</f>
        <v>0</v>
      </c>
      <c r="AK27" s="29" cm="1">
        <f t="array" ref="AK27">VLOOKUP(K27,技能属性!$A:$Z,12,FALSE)+SUM(_xlfn.XLOOKUP(L27:Z27,增益属性!$A:$A,增益属性!$J:$J))</f>
        <v>0</v>
      </c>
      <c r="AL27" s="29" cm="1">
        <f t="array" ref="AL27">VLOOKUP(K27,技能属性!$A:$Z,13,FALSE)+SUM(_xlfn.XLOOKUP(L27:Z27,增益属性!$A:$A,增益属性!$K:$K))</f>
        <v>0</v>
      </c>
      <c r="AM27" s="29" cm="1">
        <f t="array" ref="AM27">VLOOKUP(K27,技能属性!$A:$Z,14,FALSE)+SUM(_xlfn.XLOOKUP(L27:Z27,增益属性!$A:$A,增益属性!$L:$L))</f>
        <v>0</v>
      </c>
      <c r="AN27" s="29" cm="1">
        <f t="array" ref="AN27">VLOOKUP(K27,技能属性!$A:$Z,15,FALSE)+SUM(_xlfn.XLOOKUP(L27:Z27,增益属性!$A:$A,增益属性!$M:$M))</f>
        <v>0</v>
      </c>
    </row>
    <row r="28" customHeight="1" spans="2:40">
      <c r="B28" s="30"/>
      <c r="G28" s="36">
        <f t="shared" si="0"/>
        <v>0</v>
      </c>
      <c r="H28" s="36">
        <f t="shared" si="1"/>
        <v>0</v>
      </c>
      <c r="I28" s="36">
        <f t="shared" si="2"/>
        <v>0</v>
      </c>
      <c r="J28" s="49">
        <v>1</v>
      </c>
      <c r="K28" s="45" t="s">
        <v>43</v>
      </c>
      <c r="L28" s="45" t="s">
        <v>43</v>
      </c>
      <c r="M28" s="45" t="s">
        <v>43</v>
      </c>
      <c r="N28" s="45" t="s">
        <v>43</v>
      </c>
      <c r="O28" s="45" t="s">
        <v>43</v>
      </c>
      <c r="P28" s="45" t="s">
        <v>43</v>
      </c>
      <c r="Q28" s="45" t="s">
        <v>43</v>
      </c>
      <c r="R28" s="45" t="s">
        <v>43</v>
      </c>
      <c r="S28" s="45" t="s">
        <v>43</v>
      </c>
      <c r="T28" s="45" t="s">
        <v>43</v>
      </c>
      <c r="U28" s="45" t="s">
        <v>43</v>
      </c>
      <c r="V28" s="45" t="s">
        <v>43</v>
      </c>
      <c r="W28" s="45" t="s">
        <v>43</v>
      </c>
      <c r="X28" s="45" t="s">
        <v>43</v>
      </c>
      <c r="Y28" s="45" t="s">
        <v>43</v>
      </c>
      <c r="Z28" s="46" t="s">
        <v>43</v>
      </c>
      <c r="AA28" s="50">
        <f>VLOOKUP(K28,技能属性!$A:$AB,2,FALSE)</f>
        <v>0</v>
      </c>
      <c r="AB28" s="50" cm="1">
        <f t="array" ref="AB28">$C$8+SUM(_xlfn.XLOOKUP(L28:Z28,增益属性!$A:$A,增益属性!$N:$N,0))</f>
        <v>0.47</v>
      </c>
      <c r="AC28" s="36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6896.898</v>
      </c>
      <c r="AD28" s="29" cm="1">
        <f t="array" ref="AD28">$C$10+VLOOKUP(K28,技能属性!$A:$Z,3,FALSE)+SUM(_xlfn.XLOOKUP(L28:Z28,增益属性!$A:$A,增益属性!$B:$B))</f>
        <v>0.16</v>
      </c>
      <c r="AE28" s="29" cm="1">
        <f t="array" ref="AE28">$C$11+VLOOKUP(K28,技能属性!$A:$AB,4,FALSE)+SUM(_xlfn.XLOOKUP(L28:Z28,增益属性!$A:$A,增益属性!$C:$C))</f>
        <v>1.5</v>
      </c>
      <c r="AF28" s="29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0.7045</v>
      </c>
      <c r="AG28" s="29" cm="1">
        <f t="array" ref="AG28">IF(VLOOKUP(K28,技能属性!$A:$Z,8,FALSE)=0,0,$C$12+SUM(_xlfn.XLOOKUP(L28:Z28,增益属性!$A:$A,增益属性!$F:$F)))</f>
        <v>0</v>
      </c>
      <c r="AH28" s="29" cm="1">
        <f t="array" ref="AH28">VLOOKUP(K28,技能属性!$A:$Z,9,FALSE)+SUM(_xlfn.XLOOKUP(L28:Z28,增益属性!$A:$A,增益属性!$G:$G))</f>
        <v>0</v>
      </c>
      <c r="AI28" s="29" cm="1">
        <f t="array" ref="AI28">VLOOKUP(K28,技能属性!$A:$Z,10,FALSE)+SUM(_xlfn.XLOOKUP(L28:Z28,增益属性!$A:$A,增益属性!$H:$H))</f>
        <v>0</v>
      </c>
      <c r="AJ28" s="29" cm="1">
        <f t="array" ref="AJ28">VLOOKUP(K28,技能属性!$A:$Z,11,FALSE)+SUM(_xlfn.XLOOKUP(L28:Z28,增益属性!$A:$A,增益属性!$I:$I))</f>
        <v>0</v>
      </c>
      <c r="AK28" s="29" cm="1">
        <f t="array" ref="AK28">VLOOKUP(K28,技能属性!$A:$Z,12,FALSE)+SUM(_xlfn.XLOOKUP(L28:Z28,增益属性!$A:$A,增益属性!$J:$J))</f>
        <v>0</v>
      </c>
      <c r="AL28" s="29" cm="1">
        <f t="array" ref="AL28">VLOOKUP(K28,技能属性!$A:$Z,13,FALSE)+SUM(_xlfn.XLOOKUP(L28:Z28,增益属性!$A:$A,增益属性!$K:$K))</f>
        <v>0</v>
      </c>
      <c r="AM28" s="29" cm="1">
        <f t="array" ref="AM28">VLOOKUP(K28,技能属性!$A:$Z,14,FALSE)+SUM(_xlfn.XLOOKUP(L28:Z28,增益属性!$A:$A,增益属性!$L:$L))</f>
        <v>0</v>
      </c>
      <c r="AN28" s="29" cm="1">
        <f t="array" ref="AN28">VLOOKUP(K28,技能属性!$A:$Z,15,FALSE)+SUM(_xlfn.XLOOKUP(L28:Z28,增益属性!$A:$A,增益属性!$M:$M))</f>
        <v>0</v>
      </c>
    </row>
    <row r="29" customHeight="1" spans="2:40">
      <c r="B29" s="30"/>
      <c r="G29" s="36">
        <f t="shared" si="0"/>
        <v>0</v>
      </c>
      <c r="H29" s="36">
        <f t="shared" si="1"/>
        <v>0</v>
      </c>
      <c r="I29" s="36">
        <f t="shared" si="2"/>
        <v>0</v>
      </c>
      <c r="J29" s="49">
        <v>1</v>
      </c>
      <c r="K29" s="45" t="s">
        <v>43</v>
      </c>
      <c r="L29" s="45" t="s">
        <v>43</v>
      </c>
      <c r="M29" s="45" t="s">
        <v>43</v>
      </c>
      <c r="N29" s="45" t="s">
        <v>43</v>
      </c>
      <c r="O29" s="45" t="s">
        <v>43</v>
      </c>
      <c r="P29" s="45" t="s">
        <v>43</v>
      </c>
      <c r="Q29" s="45" t="s">
        <v>43</v>
      </c>
      <c r="R29" s="45" t="s">
        <v>43</v>
      </c>
      <c r="S29" s="45" t="s">
        <v>43</v>
      </c>
      <c r="T29" s="45" t="s">
        <v>43</v>
      </c>
      <c r="U29" s="45" t="s">
        <v>43</v>
      </c>
      <c r="V29" s="45" t="s">
        <v>43</v>
      </c>
      <c r="W29" s="45" t="s">
        <v>43</v>
      </c>
      <c r="X29" s="45" t="s">
        <v>43</v>
      </c>
      <c r="Y29" s="45" t="s">
        <v>43</v>
      </c>
      <c r="Z29" s="46" t="s">
        <v>43</v>
      </c>
      <c r="AA29" s="50">
        <f>VLOOKUP(K29,技能属性!$A:$AB,2,FALSE)</f>
        <v>0</v>
      </c>
      <c r="AB29" s="50" cm="1">
        <f t="array" ref="AB29">$C$8+SUM(_xlfn.XLOOKUP(L29:Z29,增益属性!$A:$A,增益属性!$N:$N,0))</f>
        <v>0.47</v>
      </c>
      <c r="AC29" s="36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6896.898</v>
      </c>
      <c r="AD29" s="29" cm="1">
        <f t="array" ref="AD29">$C$10+VLOOKUP(K29,技能属性!$A:$Z,3,FALSE)+SUM(_xlfn.XLOOKUP(L29:Z29,增益属性!$A:$A,增益属性!$B:$B))</f>
        <v>0.16</v>
      </c>
      <c r="AE29" s="29" cm="1">
        <f t="array" ref="AE29">$C$11+VLOOKUP(K29,技能属性!$A:$AB,4,FALSE)+SUM(_xlfn.XLOOKUP(L29:Z29,增益属性!$A:$A,增益属性!$C:$C))</f>
        <v>1.5</v>
      </c>
      <c r="AF29" s="29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0.7045</v>
      </c>
      <c r="AG29" s="29" cm="1">
        <f t="array" ref="AG29">IF(VLOOKUP(K29,技能属性!$A:$Z,8,FALSE)=0,0,$C$12+SUM(_xlfn.XLOOKUP(L29:Z29,增益属性!$A:$A,增益属性!$F:$F)))</f>
        <v>0</v>
      </c>
      <c r="AH29" s="29" cm="1">
        <f t="array" ref="AH29">VLOOKUP(K29,技能属性!$A:$Z,9,FALSE)+SUM(_xlfn.XLOOKUP(L29:Z29,增益属性!$A:$A,增益属性!$G:$G))</f>
        <v>0</v>
      </c>
      <c r="AI29" s="29" cm="1">
        <f t="array" ref="AI29">VLOOKUP(K29,技能属性!$A:$Z,10,FALSE)+SUM(_xlfn.XLOOKUP(L29:Z29,增益属性!$A:$A,增益属性!$H:$H))</f>
        <v>0</v>
      </c>
      <c r="AJ29" s="29" cm="1">
        <f t="array" ref="AJ29">VLOOKUP(K29,技能属性!$A:$Z,11,FALSE)+SUM(_xlfn.XLOOKUP(L29:Z29,增益属性!$A:$A,增益属性!$I:$I))</f>
        <v>0</v>
      </c>
      <c r="AK29" s="29" cm="1">
        <f t="array" ref="AK29">VLOOKUP(K29,技能属性!$A:$Z,12,FALSE)+SUM(_xlfn.XLOOKUP(L29:Z29,增益属性!$A:$A,增益属性!$J:$J))</f>
        <v>0</v>
      </c>
      <c r="AL29" s="29" cm="1">
        <f t="array" ref="AL29">VLOOKUP(K29,技能属性!$A:$Z,13,FALSE)+SUM(_xlfn.XLOOKUP(L29:Z29,增益属性!$A:$A,增益属性!$K:$K))</f>
        <v>0</v>
      </c>
      <c r="AM29" s="29" cm="1">
        <f t="array" ref="AM29">VLOOKUP(K29,技能属性!$A:$Z,14,FALSE)+SUM(_xlfn.XLOOKUP(L29:Z29,增益属性!$A:$A,增益属性!$L:$L))</f>
        <v>0</v>
      </c>
      <c r="AN29" s="29" cm="1">
        <f t="array" ref="AN29">VLOOKUP(K29,技能属性!$A:$Z,15,FALSE)+SUM(_xlfn.XLOOKUP(L29:Z29,增益属性!$A:$A,增益属性!$M:$M))</f>
        <v>0</v>
      </c>
    </row>
    <row r="30" customHeight="1" spans="2:40">
      <c r="G30" s="36">
        <f t="shared" si="0"/>
        <v>0</v>
      </c>
      <c r="H30" s="36">
        <f t="shared" si="1"/>
        <v>0</v>
      </c>
      <c r="I30" s="36">
        <f t="shared" si="2"/>
        <v>0</v>
      </c>
      <c r="J30" s="49">
        <v>1</v>
      </c>
      <c r="K30" s="45" t="s">
        <v>43</v>
      </c>
      <c r="L30" s="45" t="s">
        <v>43</v>
      </c>
      <c r="M30" s="45" t="s">
        <v>43</v>
      </c>
      <c r="N30" s="45" t="s">
        <v>43</v>
      </c>
      <c r="O30" s="45" t="s">
        <v>43</v>
      </c>
      <c r="P30" s="45" t="s">
        <v>43</v>
      </c>
      <c r="Q30" s="45" t="s">
        <v>43</v>
      </c>
      <c r="R30" s="45" t="s">
        <v>43</v>
      </c>
      <c r="S30" s="45" t="s">
        <v>43</v>
      </c>
      <c r="T30" s="45" t="s">
        <v>43</v>
      </c>
      <c r="U30" s="45" t="s">
        <v>43</v>
      </c>
      <c r="V30" s="45" t="s">
        <v>43</v>
      </c>
      <c r="W30" s="45" t="s">
        <v>43</v>
      </c>
      <c r="X30" s="45" t="s">
        <v>43</v>
      </c>
      <c r="Y30" s="45" t="s">
        <v>43</v>
      </c>
      <c r="Z30" s="46" t="s">
        <v>43</v>
      </c>
      <c r="AA30" s="50">
        <f>VLOOKUP(K30,技能属性!$A:$AB,2,FALSE)</f>
        <v>0</v>
      </c>
      <c r="AB30" s="50" cm="1">
        <f t="array" ref="AB30">$C$8+SUM(_xlfn.XLOOKUP(L30:Z30,增益属性!$A:$A,增益属性!$N:$N,0))</f>
        <v>0.47</v>
      </c>
      <c r="AC30" s="36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6896.898</v>
      </c>
      <c r="AD30" s="29" cm="1">
        <f t="array" ref="AD30">$C$10+VLOOKUP(K30,技能属性!$A:$Z,3,FALSE)+SUM(_xlfn.XLOOKUP(L30:Z30,增益属性!$A:$A,增益属性!$B:$B))</f>
        <v>0.16</v>
      </c>
      <c r="AE30" s="29" cm="1">
        <f t="array" ref="AE30">$C$11+VLOOKUP(K30,技能属性!$A:$AB,4,FALSE)+SUM(_xlfn.XLOOKUP(L30:Z30,增益属性!$A:$A,增益属性!$C:$C))</f>
        <v>1.5</v>
      </c>
      <c r="AF30" s="29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0.7045</v>
      </c>
      <c r="AG30" s="29" cm="1">
        <f t="array" ref="AG30">IF(VLOOKUP(K30,技能属性!$A:$Z,8,FALSE)=0,0,$C$12+SUM(_xlfn.XLOOKUP(L30:Z30,增益属性!$A:$A,增益属性!$F:$F)))</f>
        <v>0</v>
      </c>
      <c r="AH30" s="29" cm="1">
        <f t="array" ref="AH30">VLOOKUP(K30,技能属性!$A:$Z,9,FALSE)+SUM(_xlfn.XLOOKUP(L30:Z30,增益属性!$A:$A,增益属性!$G:$G))</f>
        <v>0</v>
      </c>
      <c r="AI30" s="29" cm="1">
        <f t="array" ref="AI30">VLOOKUP(K30,技能属性!$A:$Z,10,FALSE)+SUM(_xlfn.XLOOKUP(L30:Z30,增益属性!$A:$A,增益属性!$H:$H))</f>
        <v>0</v>
      </c>
      <c r="AJ30" s="29" cm="1">
        <f t="array" ref="AJ30">VLOOKUP(K30,技能属性!$A:$Z,11,FALSE)+SUM(_xlfn.XLOOKUP(L30:Z30,增益属性!$A:$A,增益属性!$I:$I))</f>
        <v>0</v>
      </c>
      <c r="AK30" s="29" cm="1">
        <f t="array" ref="AK30">VLOOKUP(K30,技能属性!$A:$Z,12,FALSE)+SUM(_xlfn.XLOOKUP(L30:Z30,增益属性!$A:$A,增益属性!$J:$J))</f>
        <v>0</v>
      </c>
      <c r="AL30" s="29" cm="1">
        <f t="array" ref="AL30">VLOOKUP(K30,技能属性!$A:$Z,13,FALSE)+SUM(_xlfn.XLOOKUP(L30:Z30,增益属性!$A:$A,增益属性!$K:$K))</f>
        <v>0</v>
      </c>
      <c r="AM30" s="29" cm="1">
        <f t="array" ref="AM30">VLOOKUP(K30,技能属性!$A:$Z,14,FALSE)+SUM(_xlfn.XLOOKUP(L30:Z30,增益属性!$A:$A,增益属性!$L:$L))</f>
        <v>0</v>
      </c>
      <c r="AN30" s="29" cm="1">
        <f t="array" ref="AN30">VLOOKUP(K30,技能属性!$A:$Z,15,FALSE)+SUM(_xlfn.XLOOKUP(L30:Z30,增益属性!$A:$A,增益属性!$M:$M))</f>
        <v>0</v>
      </c>
    </row>
    <row r="31" customHeight="1" spans="2:40">
      <c r="G31" s="36">
        <f t="shared" si="0"/>
        <v>0</v>
      </c>
      <c r="H31" s="36">
        <f t="shared" si="1"/>
        <v>0</v>
      </c>
      <c r="I31" s="36">
        <f t="shared" si="2"/>
        <v>0</v>
      </c>
      <c r="J31" s="49">
        <v>1</v>
      </c>
      <c r="K31" s="45" t="s">
        <v>43</v>
      </c>
      <c r="L31" s="45" t="s">
        <v>43</v>
      </c>
      <c r="M31" s="45" t="s">
        <v>43</v>
      </c>
      <c r="N31" s="45" t="s">
        <v>43</v>
      </c>
      <c r="O31" s="45" t="s">
        <v>43</v>
      </c>
      <c r="P31" s="45" t="s">
        <v>43</v>
      </c>
      <c r="Q31" s="45" t="s">
        <v>43</v>
      </c>
      <c r="R31" s="45" t="s">
        <v>43</v>
      </c>
      <c r="S31" s="45" t="s">
        <v>43</v>
      </c>
      <c r="T31" s="45" t="s">
        <v>43</v>
      </c>
      <c r="U31" s="45" t="s">
        <v>43</v>
      </c>
      <c r="V31" s="45" t="s">
        <v>43</v>
      </c>
      <c r="W31" s="45" t="s">
        <v>43</v>
      </c>
      <c r="X31" s="45" t="s">
        <v>43</v>
      </c>
      <c r="Y31" s="45" t="s">
        <v>43</v>
      </c>
      <c r="Z31" s="46" t="s">
        <v>43</v>
      </c>
      <c r="AA31" s="50">
        <f>VLOOKUP(K31,技能属性!$A:$AB,2,FALSE)</f>
        <v>0</v>
      </c>
      <c r="AB31" s="50" cm="1">
        <f t="array" ref="AB31">$C$8+SUM(_xlfn.XLOOKUP(L31:Z31,增益属性!$A:$A,增益属性!$N:$N,0))</f>
        <v>0.47</v>
      </c>
      <c r="AC31" s="36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6896.898</v>
      </c>
      <c r="AD31" s="29" cm="1">
        <f t="array" ref="AD31">$C$10+VLOOKUP(K31,技能属性!$A:$Z,3,FALSE)+SUM(_xlfn.XLOOKUP(L31:Z31,增益属性!$A:$A,增益属性!$B:$B))</f>
        <v>0.16</v>
      </c>
      <c r="AE31" s="29" cm="1">
        <f t="array" ref="AE31">$C$11+VLOOKUP(K31,技能属性!$A:$AB,4,FALSE)+SUM(_xlfn.XLOOKUP(L31:Z31,增益属性!$A:$A,增益属性!$C:$C))</f>
        <v>1.5</v>
      </c>
      <c r="AF31" s="29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0.7045</v>
      </c>
      <c r="AG31" s="29" cm="1">
        <f t="array" ref="AG31">IF(VLOOKUP(K31,技能属性!$A:$Z,8,FALSE)=0,0,$C$12+SUM(_xlfn.XLOOKUP(L31:Z31,增益属性!$A:$A,增益属性!$F:$F)))</f>
        <v>0</v>
      </c>
      <c r="AH31" s="29" cm="1">
        <f t="array" ref="AH31">VLOOKUP(K31,技能属性!$A:$Z,9,FALSE)+SUM(_xlfn.XLOOKUP(L31:Z31,增益属性!$A:$A,增益属性!$G:$G))</f>
        <v>0</v>
      </c>
      <c r="AI31" s="29" cm="1">
        <f t="array" ref="AI31">VLOOKUP(K31,技能属性!$A:$Z,10,FALSE)+SUM(_xlfn.XLOOKUP(L31:Z31,增益属性!$A:$A,增益属性!$H:$H))</f>
        <v>0</v>
      </c>
      <c r="AJ31" s="29" cm="1">
        <f t="array" ref="AJ31">VLOOKUP(K31,技能属性!$A:$Z,11,FALSE)+SUM(_xlfn.XLOOKUP(L31:Z31,增益属性!$A:$A,增益属性!$I:$I))</f>
        <v>0</v>
      </c>
      <c r="AK31" s="29" cm="1">
        <f t="array" ref="AK31">VLOOKUP(K31,技能属性!$A:$Z,12,FALSE)+SUM(_xlfn.XLOOKUP(L31:Z31,增益属性!$A:$A,增益属性!$J:$J))</f>
        <v>0</v>
      </c>
      <c r="AL31" s="29" cm="1">
        <f t="array" ref="AL31">VLOOKUP(K31,技能属性!$A:$Z,13,FALSE)+SUM(_xlfn.XLOOKUP(L31:Z31,增益属性!$A:$A,增益属性!$K:$K))</f>
        <v>0</v>
      </c>
      <c r="AM31" s="29" cm="1">
        <f t="array" ref="AM31">VLOOKUP(K31,技能属性!$A:$Z,14,FALSE)+SUM(_xlfn.XLOOKUP(L31:Z31,增益属性!$A:$A,增益属性!$L:$L))</f>
        <v>0</v>
      </c>
      <c r="AN31" s="29" cm="1">
        <f t="array" ref="AN31">VLOOKUP(K31,技能属性!$A:$Z,15,FALSE)+SUM(_xlfn.XLOOKUP(L31:Z31,增益属性!$A:$A,增益属性!$M:$M))</f>
        <v>0</v>
      </c>
    </row>
    <row r="32" customHeight="1" spans="2:40">
      <c r="G32" s="36">
        <f t="shared" si="0"/>
        <v>0</v>
      </c>
      <c r="H32" s="36">
        <f t="shared" si="1"/>
        <v>0</v>
      </c>
      <c r="I32" s="36">
        <f t="shared" si="2"/>
        <v>0</v>
      </c>
      <c r="J32" s="49">
        <v>1</v>
      </c>
      <c r="K32" s="45" t="s">
        <v>43</v>
      </c>
      <c r="L32" s="45" t="s">
        <v>43</v>
      </c>
      <c r="M32" s="45" t="s">
        <v>43</v>
      </c>
      <c r="N32" s="45" t="s">
        <v>43</v>
      </c>
      <c r="O32" s="45" t="s">
        <v>43</v>
      </c>
      <c r="P32" s="45" t="s">
        <v>43</v>
      </c>
      <c r="Q32" s="45" t="s">
        <v>43</v>
      </c>
      <c r="R32" s="45" t="s">
        <v>43</v>
      </c>
      <c r="S32" s="45" t="s">
        <v>43</v>
      </c>
      <c r="T32" s="45" t="s">
        <v>43</v>
      </c>
      <c r="U32" s="45" t="s">
        <v>43</v>
      </c>
      <c r="V32" s="45" t="s">
        <v>43</v>
      </c>
      <c r="W32" s="45" t="s">
        <v>43</v>
      </c>
      <c r="X32" s="45" t="s">
        <v>43</v>
      </c>
      <c r="Y32" s="45" t="s">
        <v>43</v>
      </c>
      <c r="Z32" s="46" t="s">
        <v>43</v>
      </c>
      <c r="AA32" s="50">
        <f>VLOOKUP(K32,技能属性!$A:$AB,2,FALSE)</f>
        <v>0</v>
      </c>
      <c r="AB32" s="50" cm="1">
        <f t="array" ref="AB32">$C$8+SUM(_xlfn.XLOOKUP(L32:Z32,增益属性!$A:$A,增益属性!$N:$N,0))</f>
        <v>0.47</v>
      </c>
      <c r="AC32" s="36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6896.898</v>
      </c>
      <c r="AD32" s="29" cm="1">
        <f t="array" ref="AD32">$C$10+VLOOKUP(K32,技能属性!$A:$Z,3,FALSE)+SUM(_xlfn.XLOOKUP(L32:Z32,增益属性!$A:$A,增益属性!$B:$B))</f>
        <v>0.16</v>
      </c>
      <c r="AE32" s="29" cm="1">
        <f t="array" ref="AE32">$C$11+VLOOKUP(K32,技能属性!$A:$AB,4,FALSE)+SUM(_xlfn.XLOOKUP(L32:Z32,增益属性!$A:$A,增益属性!$C:$C))</f>
        <v>1.5</v>
      </c>
      <c r="AF32" s="29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0.7045</v>
      </c>
      <c r="AG32" s="29" cm="1">
        <f t="array" ref="AG32">IF(VLOOKUP(K32,技能属性!$A:$Z,8,FALSE)=0,0,$C$12+SUM(_xlfn.XLOOKUP(L32:Z32,增益属性!$A:$A,增益属性!$F:$F)))</f>
        <v>0</v>
      </c>
      <c r="AH32" s="29" cm="1">
        <f t="array" ref="AH32">VLOOKUP(K32,技能属性!$A:$Z,9,FALSE)+SUM(_xlfn.XLOOKUP(L32:Z32,增益属性!$A:$A,增益属性!$G:$G))</f>
        <v>0</v>
      </c>
      <c r="AI32" s="29" cm="1">
        <f t="array" ref="AI32">VLOOKUP(K32,技能属性!$A:$Z,10,FALSE)+SUM(_xlfn.XLOOKUP(L32:Z32,增益属性!$A:$A,增益属性!$H:$H))</f>
        <v>0</v>
      </c>
      <c r="AJ32" s="29" cm="1">
        <f t="array" ref="AJ32">VLOOKUP(K32,技能属性!$A:$Z,11,FALSE)+SUM(_xlfn.XLOOKUP(L32:Z32,增益属性!$A:$A,增益属性!$I:$I))</f>
        <v>0</v>
      </c>
      <c r="AK32" s="29" cm="1">
        <f t="array" ref="AK32">VLOOKUP(K32,技能属性!$A:$Z,12,FALSE)+SUM(_xlfn.XLOOKUP(L32:Z32,增益属性!$A:$A,增益属性!$J:$J))</f>
        <v>0</v>
      </c>
      <c r="AL32" s="29" cm="1">
        <f t="array" ref="AL32">VLOOKUP(K32,技能属性!$A:$Z,13,FALSE)+SUM(_xlfn.XLOOKUP(L32:Z32,增益属性!$A:$A,增益属性!$K:$K))</f>
        <v>0</v>
      </c>
      <c r="AM32" s="29" cm="1">
        <f t="array" ref="AM32">VLOOKUP(K32,技能属性!$A:$Z,14,FALSE)+SUM(_xlfn.XLOOKUP(L32:Z32,增益属性!$A:$A,增益属性!$L:$L))</f>
        <v>0</v>
      </c>
      <c r="AN32" s="29" cm="1">
        <f t="array" ref="AN32">VLOOKUP(K32,技能属性!$A:$Z,15,FALSE)+SUM(_xlfn.XLOOKUP(L32:Z32,增益属性!$A:$A,增益属性!$M:$M))</f>
        <v>0</v>
      </c>
    </row>
    <row r="33" customHeight="1" spans="3:40">
      <c r="G33" s="36">
        <f t="shared" si="0"/>
        <v>0</v>
      </c>
      <c r="H33" s="36">
        <f t="shared" si="1"/>
        <v>0</v>
      </c>
      <c r="I33" s="36">
        <f t="shared" si="2"/>
        <v>0</v>
      </c>
      <c r="J33" s="49">
        <v>1</v>
      </c>
      <c r="K33" s="45" t="s">
        <v>43</v>
      </c>
      <c r="L33" s="45" t="s">
        <v>43</v>
      </c>
      <c r="M33" s="45" t="s">
        <v>43</v>
      </c>
      <c r="N33" s="45" t="s">
        <v>43</v>
      </c>
      <c r="O33" s="45" t="s">
        <v>43</v>
      </c>
      <c r="P33" s="45" t="s">
        <v>43</v>
      </c>
      <c r="Q33" s="45" t="s">
        <v>43</v>
      </c>
      <c r="R33" s="45" t="s">
        <v>43</v>
      </c>
      <c r="S33" s="45" t="s">
        <v>43</v>
      </c>
      <c r="T33" s="45" t="s">
        <v>43</v>
      </c>
      <c r="U33" s="45" t="s">
        <v>43</v>
      </c>
      <c r="V33" s="45" t="s">
        <v>43</v>
      </c>
      <c r="W33" s="45" t="s">
        <v>43</v>
      </c>
      <c r="X33" s="45" t="s">
        <v>43</v>
      </c>
      <c r="Y33" s="45" t="s">
        <v>43</v>
      </c>
      <c r="Z33" s="46" t="s">
        <v>43</v>
      </c>
      <c r="AA33" s="50">
        <f>VLOOKUP(K33,技能属性!$A:$AB,2,FALSE)</f>
        <v>0</v>
      </c>
      <c r="AB33" s="50" cm="1">
        <f t="array" ref="AB33">$C$8+SUM(_xlfn.XLOOKUP(L33:Z33,增益属性!$A:$A,增益属性!$N:$N,0))</f>
        <v>0.47</v>
      </c>
      <c r="AC33" s="36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6896.898</v>
      </c>
      <c r="AD33" s="29" cm="1">
        <f t="array" ref="AD33">$C$10+VLOOKUP(K33,技能属性!$A:$Z,3,FALSE)+SUM(_xlfn.XLOOKUP(L33:Z33,增益属性!$A:$A,增益属性!$B:$B))</f>
        <v>0.16</v>
      </c>
      <c r="AE33" s="29" cm="1">
        <f t="array" ref="AE33">$C$11+VLOOKUP(K33,技能属性!$A:$AB,4,FALSE)+SUM(_xlfn.XLOOKUP(L33:Z33,增益属性!$A:$A,增益属性!$C:$C))</f>
        <v>1.5</v>
      </c>
      <c r="AF33" s="29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0.7045</v>
      </c>
      <c r="AG33" s="29" cm="1">
        <f t="array" ref="AG33">IF(VLOOKUP(K33,技能属性!$A:$Z,8,FALSE)=0,0,$C$12+SUM(_xlfn.XLOOKUP(L33:Z33,增益属性!$A:$A,增益属性!$F:$F)))</f>
        <v>0</v>
      </c>
      <c r="AH33" s="29" cm="1">
        <f t="array" ref="AH33">VLOOKUP(K33,技能属性!$A:$Z,9,FALSE)+SUM(_xlfn.XLOOKUP(L33:Z33,增益属性!$A:$A,增益属性!$G:$G))</f>
        <v>0</v>
      </c>
      <c r="AI33" s="29" cm="1">
        <f t="array" ref="AI33">VLOOKUP(K33,技能属性!$A:$Z,10,FALSE)+SUM(_xlfn.XLOOKUP(L33:Z33,增益属性!$A:$A,增益属性!$H:$H))</f>
        <v>0</v>
      </c>
      <c r="AJ33" s="29" cm="1">
        <f t="array" ref="AJ33">VLOOKUP(K33,技能属性!$A:$Z,11,FALSE)+SUM(_xlfn.XLOOKUP(L33:Z33,增益属性!$A:$A,增益属性!$I:$I))</f>
        <v>0</v>
      </c>
      <c r="AK33" s="29" cm="1">
        <f t="array" ref="AK33">VLOOKUP(K33,技能属性!$A:$Z,12,FALSE)+SUM(_xlfn.XLOOKUP(L33:Z33,增益属性!$A:$A,增益属性!$J:$J))</f>
        <v>0</v>
      </c>
      <c r="AL33" s="29" cm="1">
        <f t="array" ref="AL33">VLOOKUP(K33,技能属性!$A:$Z,13,FALSE)+SUM(_xlfn.XLOOKUP(L33:Z33,增益属性!$A:$A,增益属性!$K:$K))</f>
        <v>0</v>
      </c>
      <c r="AM33" s="29" cm="1">
        <f t="array" ref="AM33">VLOOKUP(K33,技能属性!$A:$Z,14,FALSE)+SUM(_xlfn.XLOOKUP(L33:Z33,增益属性!$A:$A,增益属性!$L:$L))</f>
        <v>0</v>
      </c>
      <c r="AN33" s="29" cm="1">
        <f t="array" ref="AN33">VLOOKUP(K33,技能属性!$A:$Z,15,FALSE)+SUM(_xlfn.XLOOKUP(L33:Z33,增益属性!$A:$A,增益属性!$M:$M))</f>
        <v>0</v>
      </c>
    </row>
    <row r="34" customHeight="1" spans="3:40">
      <c r="C34" s="29"/>
      <c r="G34" s="36">
        <f t="shared" si="0"/>
        <v>0</v>
      </c>
      <c r="H34" s="36">
        <f t="shared" si="1"/>
        <v>0</v>
      </c>
      <c r="I34" s="36">
        <f t="shared" si="2"/>
        <v>0</v>
      </c>
      <c r="J34" s="49">
        <v>1</v>
      </c>
      <c r="K34" s="45" t="s">
        <v>43</v>
      </c>
      <c r="L34" s="45" t="s">
        <v>43</v>
      </c>
      <c r="M34" s="45" t="s">
        <v>43</v>
      </c>
      <c r="N34" s="45" t="s">
        <v>43</v>
      </c>
      <c r="O34" s="45" t="s">
        <v>43</v>
      </c>
      <c r="P34" s="45" t="s">
        <v>43</v>
      </c>
      <c r="Q34" s="45" t="s">
        <v>43</v>
      </c>
      <c r="R34" s="45" t="s">
        <v>43</v>
      </c>
      <c r="S34" s="45" t="s">
        <v>43</v>
      </c>
      <c r="T34" s="45" t="s">
        <v>43</v>
      </c>
      <c r="U34" s="45" t="s">
        <v>43</v>
      </c>
      <c r="V34" s="45" t="s">
        <v>43</v>
      </c>
      <c r="W34" s="45" t="s">
        <v>43</v>
      </c>
      <c r="X34" s="45" t="s">
        <v>43</v>
      </c>
      <c r="Y34" s="45" t="s">
        <v>43</v>
      </c>
      <c r="Z34" s="46" t="s">
        <v>43</v>
      </c>
      <c r="AA34" s="50">
        <f>VLOOKUP(K34,技能属性!$A:$AB,2,FALSE)</f>
        <v>0</v>
      </c>
      <c r="AB34" s="50" cm="1">
        <f t="array" ref="AB34">$C$8+SUM(_xlfn.XLOOKUP(L34:Z34,增益属性!$A:$A,增益属性!$N:$N,0))</f>
        <v>0.47</v>
      </c>
      <c r="AC34" s="36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6896.898</v>
      </c>
      <c r="AD34" s="29" cm="1">
        <f t="array" ref="AD34">$C$10+VLOOKUP(K34,技能属性!$A:$Z,3,FALSE)+SUM(_xlfn.XLOOKUP(L34:Z34,增益属性!$A:$A,增益属性!$B:$B))</f>
        <v>0.16</v>
      </c>
      <c r="AE34" s="29" cm="1">
        <f t="array" ref="AE34">$C$11+VLOOKUP(K34,技能属性!$A:$AB,4,FALSE)+SUM(_xlfn.XLOOKUP(L34:Z34,增益属性!$A:$A,增益属性!$C:$C))</f>
        <v>1.5</v>
      </c>
      <c r="AF34" s="29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0.7045</v>
      </c>
      <c r="AG34" s="29" cm="1">
        <f t="array" ref="AG34">IF(VLOOKUP(K34,技能属性!$A:$Z,8,FALSE)=0,0,$C$12+SUM(_xlfn.XLOOKUP(L34:Z34,增益属性!$A:$A,增益属性!$F:$F)))</f>
        <v>0</v>
      </c>
      <c r="AH34" s="29" cm="1">
        <f t="array" ref="AH34">VLOOKUP(K34,技能属性!$A:$Z,9,FALSE)+SUM(_xlfn.XLOOKUP(L34:Z34,增益属性!$A:$A,增益属性!$G:$G))</f>
        <v>0</v>
      </c>
      <c r="AI34" s="29" cm="1">
        <f t="array" ref="AI34">VLOOKUP(K34,技能属性!$A:$Z,10,FALSE)+SUM(_xlfn.XLOOKUP(L34:Z34,增益属性!$A:$A,增益属性!$H:$H))</f>
        <v>0</v>
      </c>
      <c r="AJ34" s="29" cm="1">
        <f t="array" ref="AJ34">VLOOKUP(K34,技能属性!$A:$Z,11,FALSE)+SUM(_xlfn.XLOOKUP(L34:Z34,增益属性!$A:$A,增益属性!$I:$I))</f>
        <v>0</v>
      </c>
      <c r="AK34" s="29" cm="1">
        <f t="array" ref="AK34">VLOOKUP(K34,技能属性!$A:$Z,12,FALSE)+SUM(_xlfn.XLOOKUP(L34:Z34,增益属性!$A:$A,增益属性!$J:$J))</f>
        <v>0</v>
      </c>
      <c r="AL34" s="29" cm="1">
        <f t="array" ref="AL34">VLOOKUP(K34,技能属性!$A:$Z,13,FALSE)+SUM(_xlfn.XLOOKUP(L34:Z34,增益属性!$A:$A,增益属性!$K:$K))</f>
        <v>0</v>
      </c>
      <c r="AM34" s="29" cm="1">
        <f t="array" ref="AM34">VLOOKUP(K34,技能属性!$A:$Z,14,FALSE)+SUM(_xlfn.XLOOKUP(L34:Z34,增益属性!$A:$A,增益属性!$L:$L))</f>
        <v>0</v>
      </c>
      <c r="AN34" s="29" cm="1">
        <f t="array" ref="AN34">VLOOKUP(K34,技能属性!$A:$Z,15,FALSE)+SUM(_xlfn.XLOOKUP(L34:Z34,增益属性!$A:$A,增益属性!$M:$M))</f>
        <v>0</v>
      </c>
    </row>
    <row r="35" customHeight="1" spans="3:40">
      <c r="G35" s="36">
        <f t="shared" si="0"/>
        <v>0</v>
      </c>
      <c r="H35" s="36">
        <f t="shared" si="1"/>
        <v>0</v>
      </c>
      <c r="I35" s="36">
        <f t="shared" si="2"/>
        <v>0</v>
      </c>
      <c r="J35" s="49">
        <v>1</v>
      </c>
      <c r="K35" s="45" t="s">
        <v>43</v>
      </c>
      <c r="L35" s="45" t="s">
        <v>43</v>
      </c>
      <c r="M35" s="45" t="s">
        <v>43</v>
      </c>
      <c r="N35" s="45" t="s">
        <v>43</v>
      </c>
      <c r="O35" s="45" t="s">
        <v>43</v>
      </c>
      <c r="P35" s="45" t="s">
        <v>43</v>
      </c>
      <c r="Q35" s="45" t="s">
        <v>43</v>
      </c>
      <c r="R35" s="45" t="s">
        <v>43</v>
      </c>
      <c r="S35" s="45" t="s">
        <v>43</v>
      </c>
      <c r="T35" s="45" t="s">
        <v>43</v>
      </c>
      <c r="U35" s="45" t="s">
        <v>43</v>
      </c>
      <c r="V35" s="45" t="s">
        <v>43</v>
      </c>
      <c r="W35" s="45" t="s">
        <v>43</v>
      </c>
      <c r="X35" s="45" t="s">
        <v>43</v>
      </c>
      <c r="Y35" s="45" t="s">
        <v>43</v>
      </c>
      <c r="Z35" s="46" t="s">
        <v>43</v>
      </c>
      <c r="AA35" s="50">
        <f>VLOOKUP(K35,技能属性!$A:$AB,2,FALSE)</f>
        <v>0</v>
      </c>
      <c r="AB35" s="50" cm="1">
        <f t="array" ref="AB35">$C$8+SUM(_xlfn.XLOOKUP(L35:Z35,增益属性!$A:$A,增益属性!$N:$N,0))</f>
        <v>0.47</v>
      </c>
      <c r="AC35" s="36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6896.898</v>
      </c>
      <c r="AD35" s="29" cm="1">
        <f t="array" ref="AD35">$C$10+VLOOKUP(K35,技能属性!$A:$Z,3,FALSE)+SUM(_xlfn.XLOOKUP(L35:Z35,增益属性!$A:$A,增益属性!$B:$B))</f>
        <v>0.16</v>
      </c>
      <c r="AE35" s="29" cm="1">
        <f t="array" ref="AE35">$C$11+VLOOKUP(K35,技能属性!$A:$AB,4,FALSE)+SUM(_xlfn.XLOOKUP(L35:Z35,增益属性!$A:$A,增益属性!$C:$C))</f>
        <v>1.5</v>
      </c>
      <c r="AF35" s="29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0.7045</v>
      </c>
      <c r="AG35" s="29" cm="1">
        <f t="array" ref="AG35">IF(VLOOKUP(K35,技能属性!$A:$Z,8,FALSE)=0,0,$C$12+SUM(_xlfn.XLOOKUP(L35:Z35,增益属性!$A:$A,增益属性!$F:$F)))</f>
        <v>0</v>
      </c>
      <c r="AH35" s="29" cm="1">
        <f t="array" ref="AH35">VLOOKUP(K35,技能属性!$A:$Z,9,FALSE)+SUM(_xlfn.XLOOKUP(L35:Z35,增益属性!$A:$A,增益属性!$G:$G))</f>
        <v>0</v>
      </c>
      <c r="AI35" s="29" cm="1">
        <f t="array" ref="AI35">VLOOKUP(K35,技能属性!$A:$Z,10,FALSE)+SUM(_xlfn.XLOOKUP(L35:Z35,增益属性!$A:$A,增益属性!$H:$H))</f>
        <v>0</v>
      </c>
      <c r="AJ35" s="29" cm="1">
        <f t="array" ref="AJ35">VLOOKUP(K35,技能属性!$A:$Z,11,FALSE)+SUM(_xlfn.XLOOKUP(L35:Z35,增益属性!$A:$A,增益属性!$I:$I))</f>
        <v>0</v>
      </c>
      <c r="AK35" s="29" cm="1">
        <f t="array" ref="AK35">VLOOKUP(K35,技能属性!$A:$Z,12,FALSE)+SUM(_xlfn.XLOOKUP(L35:Z35,增益属性!$A:$A,增益属性!$J:$J))</f>
        <v>0</v>
      </c>
      <c r="AL35" s="29" cm="1">
        <f t="array" ref="AL35">VLOOKUP(K35,技能属性!$A:$Z,13,FALSE)+SUM(_xlfn.XLOOKUP(L35:Z35,增益属性!$A:$A,增益属性!$K:$K))</f>
        <v>0</v>
      </c>
      <c r="AM35" s="29" cm="1">
        <f t="array" ref="AM35">VLOOKUP(K35,技能属性!$A:$Z,14,FALSE)+SUM(_xlfn.XLOOKUP(L35:Z35,增益属性!$A:$A,增益属性!$L:$L))</f>
        <v>0</v>
      </c>
      <c r="AN35" s="29" cm="1">
        <f t="array" ref="AN35">VLOOKUP(K35,技能属性!$A:$Z,15,FALSE)+SUM(_xlfn.XLOOKUP(L35:Z35,增益属性!$A:$A,增益属性!$M:$M))</f>
        <v>0</v>
      </c>
    </row>
    <row r="36" customHeight="1" spans="3:40">
      <c r="G36" s="36">
        <f t="shared" si="0"/>
        <v>0</v>
      </c>
      <c r="H36" s="36">
        <f t="shared" si="1"/>
        <v>0</v>
      </c>
      <c r="I36" s="36">
        <f t="shared" si="2"/>
        <v>0</v>
      </c>
      <c r="J36" s="49">
        <v>1</v>
      </c>
      <c r="K36" s="45" t="s">
        <v>43</v>
      </c>
      <c r="L36" s="45" t="s">
        <v>43</v>
      </c>
      <c r="M36" s="45" t="s">
        <v>43</v>
      </c>
      <c r="N36" s="45" t="s">
        <v>43</v>
      </c>
      <c r="O36" s="45" t="s">
        <v>43</v>
      </c>
      <c r="P36" s="45" t="s">
        <v>43</v>
      </c>
      <c r="Q36" s="45" t="s">
        <v>43</v>
      </c>
      <c r="R36" s="45" t="s">
        <v>43</v>
      </c>
      <c r="S36" s="45" t="s">
        <v>43</v>
      </c>
      <c r="T36" s="45" t="s">
        <v>43</v>
      </c>
      <c r="U36" s="45" t="s">
        <v>43</v>
      </c>
      <c r="V36" s="45" t="s">
        <v>43</v>
      </c>
      <c r="W36" s="45" t="s">
        <v>43</v>
      </c>
      <c r="X36" s="45" t="s">
        <v>43</v>
      </c>
      <c r="Y36" s="45" t="s">
        <v>43</v>
      </c>
      <c r="Z36" s="46" t="s">
        <v>43</v>
      </c>
      <c r="AA36" s="50">
        <f>VLOOKUP(K36,技能属性!$A:$AB,2,FALSE)</f>
        <v>0</v>
      </c>
      <c r="AB36" s="50" cm="1">
        <f t="array" ref="AB36">$C$8+SUM(_xlfn.XLOOKUP(L36:Z36,增益属性!$A:$A,增益属性!$N:$N,0))</f>
        <v>0.47</v>
      </c>
      <c r="AC36" s="36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6896.898</v>
      </c>
      <c r="AD36" s="29" cm="1">
        <f t="array" ref="AD36">$C$10+VLOOKUP(K36,技能属性!$A:$Z,3,FALSE)+SUM(_xlfn.XLOOKUP(L36:Z36,增益属性!$A:$A,增益属性!$B:$B))</f>
        <v>0.16</v>
      </c>
      <c r="AE36" s="29" cm="1">
        <f t="array" ref="AE36">$C$11+VLOOKUP(K36,技能属性!$A:$AB,4,FALSE)+SUM(_xlfn.XLOOKUP(L36:Z36,增益属性!$A:$A,增益属性!$C:$C))</f>
        <v>1.5</v>
      </c>
      <c r="AF36" s="29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0.7045</v>
      </c>
      <c r="AG36" s="29" cm="1">
        <f t="array" ref="AG36">IF(VLOOKUP(K36,技能属性!$A:$Z,8,FALSE)=0,0,$C$12+SUM(_xlfn.XLOOKUP(L36:Z36,增益属性!$A:$A,增益属性!$F:$F)))</f>
        <v>0</v>
      </c>
      <c r="AH36" s="29" cm="1">
        <f t="array" ref="AH36">VLOOKUP(K36,技能属性!$A:$Z,9,FALSE)+SUM(_xlfn.XLOOKUP(L36:Z36,增益属性!$A:$A,增益属性!$G:$G))</f>
        <v>0</v>
      </c>
      <c r="AI36" s="29" cm="1">
        <f t="array" ref="AI36">VLOOKUP(K36,技能属性!$A:$Z,10,FALSE)+SUM(_xlfn.XLOOKUP(L36:Z36,增益属性!$A:$A,增益属性!$H:$H))</f>
        <v>0</v>
      </c>
      <c r="AJ36" s="29" cm="1">
        <f t="array" ref="AJ36">VLOOKUP(K36,技能属性!$A:$Z,11,FALSE)+SUM(_xlfn.XLOOKUP(L36:Z36,增益属性!$A:$A,增益属性!$I:$I))</f>
        <v>0</v>
      </c>
      <c r="AK36" s="29" cm="1">
        <f t="array" ref="AK36">VLOOKUP(K36,技能属性!$A:$Z,12,FALSE)+SUM(_xlfn.XLOOKUP(L36:Z36,增益属性!$A:$A,增益属性!$J:$J))</f>
        <v>0</v>
      </c>
      <c r="AL36" s="29" cm="1">
        <f t="array" ref="AL36">VLOOKUP(K36,技能属性!$A:$Z,13,FALSE)+SUM(_xlfn.XLOOKUP(L36:Z36,增益属性!$A:$A,增益属性!$K:$K))</f>
        <v>0</v>
      </c>
      <c r="AM36" s="29" cm="1">
        <f t="array" ref="AM36">VLOOKUP(K36,技能属性!$A:$Z,14,FALSE)+SUM(_xlfn.XLOOKUP(L36:Z36,增益属性!$A:$A,增益属性!$L:$L))</f>
        <v>0</v>
      </c>
      <c r="AN36" s="29" cm="1">
        <f t="array" ref="AN36">VLOOKUP(K36,技能属性!$A:$Z,15,FALSE)+SUM(_xlfn.XLOOKUP(L36:Z36,增益属性!$A:$A,增益属性!$M:$M))</f>
        <v>0</v>
      </c>
    </row>
    <row r="37" customHeight="1"/>
    <row r="38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L2:P2 W2:Z2 L3:N3 O3 P3 W3:Z3 L4:N4 O4 P4:Z4 L5:Z5 L6:N6 O6 L7:N7 O7 L8:N8 O8 P8:Z8 Q2:V3 P6:Z7 L9:Z36">
      <formula1>增益属性!$A:$A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E24" sqref="E24"/>
    </sheetView>
  </sheetViews>
  <sheetFormatPr defaultColWidth="9" defaultRowHeight="13.5"/>
  <cols>
    <col min="1" max="1" width="15.75" customWidth="1"/>
    <col min="2" max="2" width="10.625" customWidth="1"/>
    <col min="3" max="3" width="10.375" customWidth="1"/>
    <col min="7" max="9" width="12.625" style="36" customWidth="1"/>
    <col min="10" max="10" width="12.625" style="37"/>
    <col min="11" max="11" width="24.625" style="38" customWidth="1"/>
    <col min="12" max="25" width="12.625" style="38" customWidth="1"/>
    <col min="26" max="26" width="12.625" style="39" customWidth="1"/>
    <col min="27" max="28" width="9" style="40"/>
    <col min="29" max="29" width="9.00833333333333" customWidth="1"/>
    <col min="31" max="31" width="10.5" customWidth="1"/>
    <col min="33" max="33" width="11.5" customWidth="1"/>
  </cols>
  <sheetData>
    <row r="1" customHeight="1" spans="1:40">
      <c r="A1" s="41" t="s">
        <v>0</v>
      </c>
      <c r="B1" s="30" t="s">
        <v>1</v>
      </c>
      <c r="C1" s="30" t="s">
        <v>2</v>
      </c>
      <c r="D1" s="42" t="s">
        <v>3</v>
      </c>
      <c r="E1" s="43"/>
      <c r="G1" s="36" t="s">
        <v>4</v>
      </c>
      <c r="H1" s="36" t="s">
        <v>5</v>
      </c>
      <c r="I1" s="36" t="s">
        <v>6</v>
      </c>
      <c r="J1" s="44" t="s">
        <v>7</v>
      </c>
      <c r="K1" s="45" t="s">
        <v>8</v>
      </c>
      <c r="L1" s="45" t="s">
        <v>9</v>
      </c>
      <c r="M1" s="45" t="s">
        <v>10</v>
      </c>
      <c r="N1" s="45" t="s">
        <v>11</v>
      </c>
      <c r="O1" s="45" t="s">
        <v>12</v>
      </c>
      <c r="P1" s="45" t="s">
        <v>13</v>
      </c>
      <c r="Q1" s="45" t="s">
        <v>14</v>
      </c>
      <c r="R1" s="45" t="s">
        <v>15</v>
      </c>
      <c r="S1" s="45" t="s">
        <v>16</v>
      </c>
      <c r="T1" s="45" t="s">
        <v>17</v>
      </c>
      <c r="U1" s="45" t="s">
        <v>18</v>
      </c>
      <c r="V1" s="45" t="s">
        <v>19</v>
      </c>
      <c r="W1" s="45" t="s">
        <v>20</v>
      </c>
      <c r="X1" s="45" t="s">
        <v>21</v>
      </c>
      <c r="Y1" s="45" t="s">
        <v>22</v>
      </c>
      <c r="Z1" s="46" t="s">
        <v>23</v>
      </c>
      <c r="AA1" s="47" t="s">
        <v>24</v>
      </c>
      <c r="AB1" s="47" t="s">
        <v>25</v>
      </c>
      <c r="AC1" s="30" t="s">
        <v>26</v>
      </c>
      <c r="AD1" s="30" t="s">
        <v>27</v>
      </c>
      <c r="AE1" s="30" t="s">
        <v>4</v>
      </c>
      <c r="AF1" s="30" t="s">
        <v>28</v>
      </c>
      <c r="AG1" s="30" t="s">
        <v>29</v>
      </c>
      <c r="AH1" s="30" t="s">
        <v>30</v>
      </c>
      <c r="AI1" s="30" t="s">
        <v>31</v>
      </c>
      <c r="AJ1" s="30" t="s">
        <v>32</v>
      </c>
      <c r="AK1" s="30" t="s">
        <v>33</v>
      </c>
      <c r="AL1" s="30" t="s">
        <v>34</v>
      </c>
      <c r="AM1" s="30" t="s">
        <v>35</v>
      </c>
      <c r="AN1" s="30" t="s">
        <v>36</v>
      </c>
    </row>
    <row r="2" customHeight="1" spans="1:40">
      <c r="A2" s="48" t="s">
        <v>37</v>
      </c>
      <c r="B2" s="30" t="str">
        <f>VLOOKUP($A$2,干员属性!$A:$AG,24,FALSE)</f>
        <v>力量</v>
      </c>
      <c r="C2" s="30" t="str">
        <f>VLOOKUP($A$2,干员属性!$A:$AG,25,FALSE)</f>
        <v>意志</v>
      </c>
      <c r="D2" s="42">
        <v>0</v>
      </c>
      <c r="E2" s="43"/>
      <c r="G2" s="36">
        <f t="shared" ref="G2:G36" si="0">AA2*AC2*(1+AF2)*(1+AG2)*(1+AH2)*(1+AI2)*(1+AJ2)*(1+AK2)*(1-$D$2+AL2)*(1+AM2)*(1+AN2)*0.5*AE2*J2</f>
        <v>198099.056359996</v>
      </c>
      <c r="H2" s="36">
        <f t="shared" ref="H2:H36" si="1">AA2*AC2*(1+AF2)*(1+AG2)*(1+AH2)*(1+AI2)*(1+AJ2)*(1+AK2)*(1-$D$2+AL2)*(1+AM2)*(1+AN2)*0.5*J2</f>
        <v>132066.03757333</v>
      </c>
      <c r="I2" s="36">
        <f t="shared" ref="I2:I36" si="2">AA2*AC2*(1+AF2)*(1+AG2)*(1+AH2)*(1+AI2)*(1+AJ2)*(1+AK2)*(1-$D$2+AL2)*(1+AM2)*(1+AN2)*0.5*(AE2*AD2+(1-AD2))*J2</f>
        <v>142631.320579197</v>
      </c>
      <c r="J2" s="49">
        <v>1</v>
      </c>
      <c r="K2" s="45" t="s">
        <v>38</v>
      </c>
      <c r="L2" s="45" t="s">
        <v>39</v>
      </c>
      <c r="M2" s="45" t="s">
        <v>40</v>
      </c>
      <c r="N2" s="45" t="s">
        <v>88</v>
      </c>
      <c r="O2" s="45" t="s">
        <v>43</v>
      </c>
      <c r="P2" s="45" t="s">
        <v>43</v>
      </c>
      <c r="Q2" s="45" t="s">
        <v>43</v>
      </c>
      <c r="R2" s="45" t="s">
        <v>43</v>
      </c>
      <c r="S2" s="45" t="s">
        <v>43</v>
      </c>
      <c r="T2" s="45" t="s">
        <v>43</v>
      </c>
      <c r="U2" s="45" t="s">
        <v>43</v>
      </c>
      <c r="V2" s="45" t="s">
        <v>43</v>
      </c>
      <c r="W2" s="45" t="s">
        <v>43</v>
      </c>
      <c r="X2" s="45" t="s">
        <v>43</v>
      </c>
      <c r="Y2" s="45" t="s">
        <v>43</v>
      </c>
      <c r="Z2" s="46" t="s">
        <v>43</v>
      </c>
      <c r="AA2" s="50">
        <f>VLOOKUP(K2,技能属性!$A:$AB,2,FALSE)</f>
        <v>6</v>
      </c>
      <c r="AB2" s="50" cm="1">
        <f t="array" ref="AB2">$C$8+SUM(_xlfn.XLOOKUP(L2:Z2,增益属性!$A:$A,增益属性!$N:$N,0))</f>
        <v>0.08</v>
      </c>
      <c r="AC2" s="36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5196.6288</v>
      </c>
      <c r="AD2" s="29" cm="1">
        <f t="array" ref="AD2">$C$10+VLOOKUP(K2,技能属性!$A:$Z,3,FALSE)+SUM(_xlfn.XLOOKUP(L2:Z2,增益属性!$A:$A,增益属性!$B:$B))</f>
        <v>0.16</v>
      </c>
      <c r="AE2" s="29" cm="1">
        <f t="array" ref="AE2">$C$11+VLOOKUP(K2,技能属性!$A:$AB,4,FALSE)+SUM(_xlfn.XLOOKUP(L2:Z2,增益属性!$A:$A,增益属性!$C:$C))</f>
        <v>1.5</v>
      </c>
      <c r="AF2" s="29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1.3765</v>
      </c>
      <c r="AG2" s="29" cm="1">
        <f t="array" ref="AG2">IF(VLOOKUP(K2,技能属性!$A:$Z,8,FALSE)=0,0,$C$12+SUM(_xlfn.XLOOKUP(L2:Z2,增益属性!$A:$A,增益属性!$F:$F)))</f>
        <v>1.7667</v>
      </c>
      <c r="AH2" s="29" cm="1">
        <f t="array" ref="AH2">VLOOKUP(K2,技能属性!$A:$Z,9,FALSE)+SUM(_xlfn.XLOOKUP(L2:Z2,增益属性!$A:$A,增益属性!$G:$G))</f>
        <v>0</v>
      </c>
      <c r="AI2" s="29" cm="1">
        <f t="array" ref="AI2">VLOOKUP(K2,技能属性!$A:$Z,10,FALSE)+SUM(_xlfn.XLOOKUP(L2:Z2,增益属性!$A:$A,增益属性!$H:$H))</f>
        <v>0.05</v>
      </c>
      <c r="AJ2" s="29" cm="1">
        <f t="array" ref="AJ2">VLOOKUP(K2,技能属性!$A:$Z,11,FALSE)+SUM(_xlfn.XLOOKUP(L2:Z2,增益属性!$A:$A,增益属性!$I:$I))</f>
        <v>0</v>
      </c>
      <c r="AK2" s="29" cm="1">
        <f t="array" ref="AK2">VLOOKUP(K2,技能属性!$A:$Z,12,FALSE)+SUM(_xlfn.XLOOKUP(L2:Z2,增益属性!$A:$A,增益属性!$J:$J))</f>
        <v>0</v>
      </c>
      <c r="AL2" s="29" cm="1">
        <f t="array" ref="AL2">VLOOKUP(K2,技能属性!$A:$Z,13,FALSE)+SUM(_xlfn.XLOOKUP(L2:Z2,增益属性!$A:$A,增益属性!$K:$K))</f>
        <v>0</v>
      </c>
      <c r="AM2" s="29" cm="1">
        <f t="array" ref="AM2">VLOOKUP(K2,技能属性!$A:$Z,14,FALSE)+SUM(_xlfn.XLOOKUP(L2:Z2,增益属性!$A:$A,增益属性!$L:$L))</f>
        <v>0</v>
      </c>
      <c r="AN2" s="29" cm="1">
        <f t="array" ref="AN2">VLOOKUP(K2,技能属性!$A:$Z,15,FALSE)+SUM(_xlfn.XLOOKUP(L2:Z2,增益属性!$A:$A,增益属性!$M:$M))</f>
        <v>0.227040816326531</v>
      </c>
    </row>
    <row r="3" customHeight="1" spans="1:40">
      <c r="A3" s="51" t="s">
        <v>44</v>
      </c>
      <c r="B3" s="30" t="s">
        <v>45</v>
      </c>
      <c r="C3" s="30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680.46</v>
      </c>
      <c r="G3" s="36">
        <f t="shared" si="0"/>
        <v>19450.91664054</v>
      </c>
      <c r="H3" s="36">
        <f t="shared" si="1"/>
        <v>12967.27776036</v>
      </c>
      <c r="I3" s="36">
        <f t="shared" si="2"/>
        <v>14004.6599811888</v>
      </c>
      <c r="J3" s="49">
        <v>1</v>
      </c>
      <c r="K3" s="45" t="s">
        <v>46</v>
      </c>
      <c r="L3" s="45" t="s">
        <v>39</v>
      </c>
      <c r="M3" s="45" t="s">
        <v>40</v>
      </c>
      <c r="N3" s="45" t="s">
        <v>88</v>
      </c>
      <c r="O3" s="45" t="s">
        <v>43</v>
      </c>
      <c r="P3" s="45" t="s">
        <v>43</v>
      </c>
      <c r="Q3" s="45" t="s">
        <v>43</v>
      </c>
      <c r="R3" s="45" t="s">
        <v>43</v>
      </c>
      <c r="S3" s="45" t="s">
        <v>43</v>
      </c>
      <c r="T3" s="45" t="s">
        <v>43</v>
      </c>
      <c r="U3" s="45" t="s">
        <v>43</v>
      </c>
      <c r="V3" s="45" t="s">
        <v>43</v>
      </c>
      <c r="W3" s="45" t="s">
        <v>43</v>
      </c>
      <c r="X3" s="45" t="s">
        <v>43</v>
      </c>
      <c r="Y3" s="45" t="s">
        <v>43</v>
      </c>
      <c r="Z3" s="46" t="s">
        <v>43</v>
      </c>
      <c r="AA3" s="50">
        <f>VLOOKUP(K3,技能属性!$A:$AB,2,FALSE)</f>
        <v>2</v>
      </c>
      <c r="AB3" s="50" cm="1">
        <f t="array" ref="AB3">$C$8+SUM(_xlfn.XLOOKUP(L3:Z3,增益属性!$A:$A,增益属性!$N:$N,0))</f>
        <v>0.08</v>
      </c>
      <c r="AC3" s="36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5196.6288</v>
      </c>
      <c r="AD3" s="29" cm="1">
        <f t="array" ref="AD3">$C$10+VLOOKUP(K3,技能属性!$A:$Z,3,FALSE)+SUM(_xlfn.XLOOKUP(L3:Z3,增益属性!$A:$A,增益属性!$B:$B))</f>
        <v>0.16</v>
      </c>
      <c r="AE3" s="29" cm="1">
        <f t="array" ref="AE3">$C$11+VLOOKUP(K3,技能属性!$A:$AB,4,FALSE)+SUM(_xlfn.XLOOKUP(L3:Z3,增益属性!$A:$A,增益属性!$C:$C))</f>
        <v>1.5</v>
      </c>
      <c r="AF3" s="29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1.3765</v>
      </c>
      <c r="AG3" s="29" cm="1">
        <f t="array" ref="AG3">IF(VLOOKUP(K3,技能属性!$A:$Z,8,FALSE)=0,0,$C$12+SUM(_xlfn.XLOOKUP(L3:Z3,增益属性!$A:$A,增益属性!$F:$F)))</f>
        <v>0</v>
      </c>
      <c r="AH3" s="29" cm="1">
        <f t="array" ref="AH3">VLOOKUP(K3,技能属性!$A:$Z,9,FALSE)+SUM(_xlfn.XLOOKUP(L3:Z3,增益属性!$A:$A,增益属性!$G:$G))</f>
        <v>0</v>
      </c>
      <c r="AI3" s="29" cm="1">
        <f t="array" ref="AI3">VLOOKUP(K3,技能属性!$A:$Z,10,FALSE)+SUM(_xlfn.XLOOKUP(L3:Z3,增益属性!$A:$A,增益属性!$H:$H))</f>
        <v>0.05</v>
      </c>
      <c r="AJ3" s="29" cm="1">
        <f t="array" ref="AJ3">VLOOKUP(K3,技能属性!$A:$Z,11,FALSE)+SUM(_xlfn.XLOOKUP(L3:Z3,增益属性!$A:$A,增益属性!$I:$I))</f>
        <v>0</v>
      </c>
      <c r="AK3" s="29" cm="1">
        <f t="array" ref="AK3">VLOOKUP(K3,技能属性!$A:$Z,12,FALSE)+SUM(_xlfn.XLOOKUP(L3:Z3,增益属性!$A:$A,增益属性!$J:$J))</f>
        <v>0</v>
      </c>
      <c r="AL3" s="29" cm="1">
        <f t="array" ref="AL3">VLOOKUP(K3,技能属性!$A:$Z,13,FALSE)+SUM(_xlfn.XLOOKUP(L3:Z3,增益属性!$A:$A,增益属性!$K:$K))</f>
        <v>0</v>
      </c>
      <c r="AM3" s="29" cm="1">
        <f t="array" ref="AM3">VLOOKUP(K3,技能属性!$A:$Z,14,FALSE)+SUM(_xlfn.XLOOKUP(L3:Z3,增益属性!$A:$A,增益属性!$L:$L))</f>
        <v>0</v>
      </c>
      <c r="AN3" s="29" cm="1">
        <f t="array" ref="AN3">VLOOKUP(K3,技能属性!$A:$Z,15,FALSE)+SUM(_xlfn.XLOOKUP(L3:Z3,增益属性!$A:$A,增益属性!$M:$M))</f>
        <v>0</v>
      </c>
    </row>
    <row r="4" customHeight="1" spans="1:40">
      <c r="A4" s="48" t="s">
        <v>89</v>
      </c>
      <c r="B4" s="30" t="s">
        <v>48</v>
      </c>
      <c r="C4" s="30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92.94</v>
      </c>
      <c r="D4" s="52" t="s">
        <v>49</v>
      </c>
      <c r="E4" s="53">
        <v>1</v>
      </c>
      <c r="F4" s="54"/>
      <c r="G4" s="36">
        <f t="shared" si="0"/>
        <v>193733.463849775</v>
      </c>
      <c r="H4" s="36">
        <f t="shared" si="1"/>
        <v>129155.642566517</v>
      </c>
      <c r="I4" s="36">
        <f t="shared" si="2"/>
        <v>139488.093971838</v>
      </c>
      <c r="J4" s="49">
        <v>1</v>
      </c>
      <c r="K4" s="45" t="s">
        <v>50</v>
      </c>
      <c r="L4" s="45" t="s">
        <v>39</v>
      </c>
      <c r="M4" s="45" t="s">
        <v>40</v>
      </c>
      <c r="N4" s="45" t="s">
        <v>88</v>
      </c>
      <c r="O4" s="45" t="s">
        <v>43</v>
      </c>
      <c r="P4" s="45" t="s">
        <v>43</v>
      </c>
      <c r="Q4" s="45" t="s">
        <v>43</v>
      </c>
      <c r="R4" s="45" t="s">
        <v>43</v>
      </c>
      <c r="S4" s="45" t="s">
        <v>43</v>
      </c>
      <c r="T4" s="45" t="s">
        <v>43</v>
      </c>
      <c r="U4" s="45" t="s">
        <v>43</v>
      </c>
      <c r="V4" s="45" t="s">
        <v>43</v>
      </c>
      <c r="W4" s="45" t="s">
        <v>43</v>
      </c>
      <c r="X4" s="45" t="s">
        <v>43</v>
      </c>
      <c r="Y4" s="45" t="s">
        <v>43</v>
      </c>
      <c r="Z4" s="46" t="s">
        <v>43</v>
      </c>
      <c r="AA4" s="50">
        <f>VLOOKUP(K4,技能属性!$A:$AB,2,FALSE)</f>
        <v>6</v>
      </c>
      <c r="AB4" s="50" cm="1">
        <f t="array" ref="AB4">$C$8+SUM(_xlfn.XLOOKUP(L4:Z4,增益属性!$A:$A,增益属性!$N:$N,0))</f>
        <v>0.08</v>
      </c>
      <c r="AC4" s="36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5196.6288</v>
      </c>
      <c r="AD4" s="29" cm="1">
        <f t="array" ref="AD4">$C$10+VLOOKUP(K4,技能属性!$A:$Z,3,FALSE)+SUM(_xlfn.XLOOKUP(L4:Z4,增益属性!$A:$A,增益属性!$B:$B))</f>
        <v>0.16</v>
      </c>
      <c r="AE4" s="29" cm="1">
        <f t="array" ref="AE4">$C$11+VLOOKUP(K4,技能属性!$A:$AB,4,FALSE)+SUM(_xlfn.XLOOKUP(L4:Z4,增益属性!$A:$A,增益属性!$C:$C))</f>
        <v>1.5</v>
      </c>
      <c r="AF4" s="29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1.3765</v>
      </c>
      <c r="AG4" s="29" cm="1">
        <f t="array" ref="AG4">IF(VLOOKUP(K4,技能属性!$A:$Z,8,FALSE)=0,0,$C$12+SUM(_xlfn.XLOOKUP(L4:Z4,增益属性!$A:$A,增益属性!$F:$F)))</f>
        <v>1.7667</v>
      </c>
      <c r="AH4" s="29" cm="1">
        <f t="array" ref="AH4">VLOOKUP(K4,技能属性!$A:$Z,9,FALSE)+SUM(_xlfn.XLOOKUP(L4:Z4,增益属性!$A:$A,增益属性!$G:$G))</f>
        <v>0</v>
      </c>
      <c r="AI4" s="29" cm="1">
        <f t="array" ref="AI4">VLOOKUP(K4,技能属性!$A:$Z,10,FALSE)+SUM(_xlfn.XLOOKUP(L4:Z4,增益属性!$A:$A,增益属性!$H:$H))</f>
        <v>0.05</v>
      </c>
      <c r="AJ4" s="29" cm="1">
        <f t="array" ref="AJ4">VLOOKUP(K4,技能属性!$A:$Z,11,FALSE)+SUM(_xlfn.XLOOKUP(L4:Z4,增益属性!$A:$A,增益属性!$I:$I))</f>
        <v>0</v>
      </c>
      <c r="AK4" s="29" cm="1">
        <f t="array" ref="AK4">VLOOKUP(K4,技能属性!$A:$Z,12,FALSE)+SUM(_xlfn.XLOOKUP(L4:Z4,增益属性!$A:$A,增益属性!$J:$J))</f>
        <v>0</v>
      </c>
      <c r="AL4" s="29" cm="1">
        <f t="array" ref="AL4">VLOOKUP(K4,技能属性!$A:$Z,13,FALSE)+SUM(_xlfn.XLOOKUP(L4:Z4,增益属性!$A:$A,增益属性!$K:$K))</f>
        <v>0</v>
      </c>
      <c r="AM4" s="29" cm="1">
        <f t="array" ref="AM4">VLOOKUP(K4,技能属性!$A:$Z,14,FALSE)+SUM(_xlfn.XLOOKUP(L4:Z4,增益属性!$A:$A,增益属性!$L:$L))</f>
        <v>0</v>
      </c>
      <c r="AN4" s="29" cm="1">
        <f t="array" ref="AN4">VLOOKUP(K4,技能属性!$A:$Z,15,FALSE)+SUM(_xlfn.XLOOKUP(L4:Z4,增益属性!$A:$A,增益属性!$M:$M))</f>
        <v>0.2</v>
      </c>
    </row>
    <row r="5" customHeight="1" spans="1:40">
      <c r="A5" s="51" t="s">
        <v>51</v>
      </c>
      <c r="B5" s="30" t="s">
        <v>52</v>
      </c>
      <c r="C5" s="30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90.9</v>
      </c>
      <c r="D5" s="55"/>
      <c r="E5" s="56"/>
      <c r="F5" s="57"/>
      <c r="G5" s="36">
        <f t="shared" si="0"/>
        <v>0</v>
      </c>
      <c r="H5" s="36">
        <f t="shared" si="1"/>
        <v>0</v>
      </c>
      <c r="I5" s="36">
        <f t="shared" si="2"/>
        <v>0</v>
      </c>
      <c r="J5" s="49">
        <v>1</v>
      </c>
      <c r="K5" s="45" t="s">
        <v>43</v>
      </c>
      <c r="L5" s="45" t="s">
        <v>43</v>
      </c>
      <c r="M5" s="45" t="s">
        <v>43</v>
      </c>
      <c r="N5" s="45" t="s">
        <v>43</v>
      </c>
      <c r="O5" s="45" t="s">
        <v>43</v>
      </c>
      <c r="P5" s="45" t="s">
        <v>43</v>
      </c>
      <c r="Q5" s="45" t="s">
        <v>43</v>
      </c>
      <c r="R5" s="45" t="s">
        <v>43</v>
      </c>
      <c r="S5" s="45" t="s">
        <v>43</v>
      </c>
      <c r="T5" s="45" t="s">
        <v>43</v>
      </c>
      <c r="U5" s="45" t="s">
        <v>43</v>
      </c>
      <c r="V5" s="45" t="s">
        <v>43</v>
      </c>
      <c r="W5" s="45" t="s">
        <v>43</v>
      </c>
      <c r="X5" s="45" t="s">
        <v>43</v>
      </c>
      <c r="Y5" s="45" t="s">
        <v>43</v>
      </c>
      <c r="Z5" s="46" t="s">
        <v>43</v>
      </c>
      <c r="AA5" s="50">
        <f>VLOOKUP(K5,技能属性!$A:$AB,2,FALSE)</f>
        <v>0</v>
      </c>
      <c r="AB5" s="50" cm="1">
        <f t="array" ref="AB5">$C$8+SUM(_xlfn.XLOOKUP(L5:Z5,增益属性!$A:$A,增益属性!$N:$N,0))</f>
        <v>0.08</v>
      </c>
      <c r="AC5" s="36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5196.6288</v>
      </c>
      <c r="AD5" s="29" cm="1">
        <f t="array" ref="AD5">$C$10+VLOOKUP(K5,技能属性!$A:$Z,3,FALSE)+SUM(_xlfn.XLOOKUP(L5:Z5,增益属性!$A:$A,增益属性!$B:$B))</f>
        <v>0.16</v>
      </c>
      <c r="AE5" s="29" cm="1">
        <f t="array" ref="AE5">$C$11+VLOOKUP(K5,技能属性!$A:$AB,4,FALSE)+SUM(_xlfn.XLOOKUP(L5:Z5,增益属性!$A:$A,增益属性!$C:$C))</f>
        <v>1.5</v>
      </c>
      <c r="AF5" s="29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0.6445</v>
      </c>
      <c r="AG5" s="29" cm="1">
        <f t="array" ref="AG5">IF(VLOOKUP(K5,技能属性!$A:$Z,8,FALSE)=0,0,$C$12+SUM(_xlfn.XLOOKUP(L5:Z5,增益属性!$A:$A,增益属性!$F:$F)))</f>
        <v>0</v>
      </c>
      <c r="AH5" s="29" cm="1">
        <f t="array" ref="AH5">VLOOKUP(K5,技能属性!$A:$Z,9,FALSE)+SUM(_xlfn.XLOOKUP(L5:Z5,增益属性!$A:$A,增益属性!$G:$G))</f>
        <v>0</v>
      </c>
      <c r="AI5" s="29" cm="1">
        <f t="array" ref="AI5">VLOOKUP(K5,技能属性!$A:$Z,10,FALSE)+SUM(_xlfn.XLOOKUP(L5:Z5,增益属性!$A:$A,增益属性!$H:$H))</f>
        <v>0</v>
      </c>
      <c r="AJ5" s="29" cm="1">
        <f t="array" ref="AJ5">VLOOKUP(K5,技能属性!$A:$Z,11,FALSE)+SUM(_xlfn.XLOOKUP(L5:Z5,增益属性!$A:$A,增益属性!$I:$I))</f>
        <v>0</v>
      </c>
      <c r="AK5" s="29" cm="1">
        <f t="array" ref="AK5">VLOOKUP(K5,技能属性!$A:$Z,12,FALSE)+SUM(_xlfn.XLOOKUP(L5:Z5,增益属性!$A:$A,增益属性!$J:$J))</f>
        <v>0</v>
      </c>
      <c r="AL5" s="29" cm="1">
        <f t="array" ref="AL5">VLOOKUP(K5,技能属性!$A:$Z,13,FALSE)+SUM(_xlfn.XLOOKUP(L5:Z5,增益属性!$A:$A,增益属性!$K:$K))</f>
        <v>0</v>
      </c>
      <c r="AM5" s="29" cm="1">
        <f t="array" ref="AM5">VLOOKUP(K5,技能属性!$A:$Z,14,FALSE)+SUM(_xlfn.XLOOKUP(L5:Z5,增益属性!$A:$A,增益属性!$L:$L))</f>
        <v>0</v>
      </c>
      <c r="AN5" s="29" cm="1">
        <f t="array" ref="AN5">VLOOKUP(K5,技能属性!$A:$Z,15,FALSE)+SUM(_xlfn.XLOOKUP(L5:Z5,增益属性!$A:$A,增益属性!$M:$M))</f>
        <v>0</v>
      </c>
    </row>
    <row r="6" customHeight="1" spans="1:40">
      <c r="A6" s="48" t="s">
        <v>53</v>
      </c>
      <c r="B6" s="30" t="s">
        <v>54</v>
      </c>
      <c r="C6" s="30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276.25</v>
      </c>
      <c r="D6" s="52" t="s">
        <v>55</v>
      </c>
      <c r="E6" s="58">
        <f>SUM(I2:I1000)</f>
        <v>372956.783092287</v>
      </c>
      <c r="F6" s="59"/>
      <c r="G6" s="36">
        <f t="shared" si="0"/>
        <v>24313.645800675</v>
      </c>
      <c r="H6" s="36">
        <f t="shared" si="1"/>
        <v>16209.09720045</v>
      </c>
      <c r="I6" s="36">
        <f t="shared" si="2"/>
        <v>17505.824976486</v>
      </c>
      <c r="J6" s="49">
        <v>1</v>
      </c>
      <c r="K6" s="45" t="s">
        <v>56</v>
      </c>
      <c r="L6" s="45" t="s">
        <v>39</v>
      </c>
      <c r="M6" s="45" t="s">
        <v>40</v>
      </c>
      <c r="N6" s="45" t="s">
        <v>88</v>
      </c>
      <c r="O6" s="45" t="s">
        <v>43</v>
      </c>
      <c r="P6" s="45" t="s">
        <v>43</v>
      </c>
      <c r="Q6" s="45" t="s">
        <v>43</v>
      </c>
      <c r="R6" s="45" t="s">
        <v>43</v>
      </c>
      <c r="S6" s="45" t="s">
        <v>43</v>
      </c>
      <c r="T6" s="45" t="s">
        <v>43</v>
      </c>
      <c r="U6" s="45" t="s">
        <v>43</v>
      </c>
      <c r="V6" s="45" t="s">
        <v>43</v>
      </c>
      <c r="W6" s="45" t="s">
        <v>43</v>
      </c>
      <c r="X6" s="45" t="s">
        <v>43</v>
      </c>
      <c r="Y6" s="45" t="s">
        <v>43</v>
      </c>
      <c r="Z6" s="46" t="s">
        <v>43</v>
      </c>
      <c r="AA6" s="50">
        <f>VLOOKUP(K6,技能属性!$A:$AB,2,FALSE)</f>
        <v>2.5</v>
      </c>
      <c r="AB6" s="50" cm="1">
        <f t="array" ref="AB6">$C$8+SUM(_xlfn.XLOOKUP(L6:Z6,增益属性!$A:$A,增益属性!$N:$N,0))</f>
        <v>0.08</v>
      </c>
      <c r="AC6" s="36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5196.6288</v>
      </c>
      <c r="AD6" s="29" cm="1">
        <f t="array" ref="AD6">$C$10+VLOOKUP(K6,技能属性!$A:$Z,3,FALSE)+SUM(_xlfn.XLOOKUP(L6:Z6,增益属性!$A:$A,增益属性!$B:$B))</f>
        <v>0.16</v>
      </c>
      <c r="AE6" s="29" cm="1">
        <f t="array" ref="AE6">$C$11+VLOOKUP(K6,技能属性!$A:$AB,4,FALSE)+SUM(_xlfn.XLOOKUP(L6:Z6,增益属性!$A:$A,增益属性!$C:$C))</f>
        <v>1.5</v>
      </c>
      <c r="AF6" s="29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1.3765</v>
      </c>
      <c r="AG6" s="29" cm="1">
        <f t="array" ref="AG6">IF(VLOOKUP(K6,技能属性!$A:$Z,8,FALSE)=0,0,$C$12+SUM(_xlfn.XLOOKUP(L6:Z6,增益属性!$A:$A,增益属性!$F:$F)))</f>
        <v>0</v>
      </c>
      <c r="AH6" s="29" cm="1">
        <f t="array" ref="AH6">VLOOKUP(K6,技能属性!$A:$Z,9,FALSE)+SUM(_xlfn.XLOOKUP(L6:Z6,增益属性!$A:$A,增益属性!$G:$G))</f>
        <v>0</v>
      </c>
      <c r="AI6" s="29" cm="1">
        <f t="array" ref="AI6">VLOOKUP(K6,技能属性!$A:$Z,10,FALSE)+SUM(_xlfn.XLOOKUP(L6:Z6,增益属性!$A:$A,增益属性!$H:$H))</f>
        <v>0.05</v>
      </c>
      <c r="AJ6" s="29" cm="1">
        <f t="array" ref="AJ6">VLOOKUP(K6,技能属性!$A:$Z,11,FALSE)+SUM(_xlfn.XLOOKUP(L6:Z6,增益属性!$A:$A,增益属性!$I:$I))</f>
        <v>0</v>
      </c>
      <c r="AK6" s="29" cm="1">
        <f t="array" ref="AK6">VLOOKUP(K6,技能属性!$A:$Z,12,FALSE)+SUM(_xlfn.XLOOKUP(L6:Z6,增益属性!$A:$A,增益属性!$J:$J))</f>
        <v>0</v>
      </c>
      <c r="AL6" s="29" cm="1">
        <f t="array" ref="AL6">VLOOKUP(K6,技能属性!$A:$Z,13,FALSE)+SUM(_xlfn.XLOOKUP(L6:Z6,增益属性!$A:$A,增益属性!$K:$K))</f>
        <v>0</v>
      </c>
      <c r="AM6" s="29" cm="1">
        <f t="array" ref="AM6">VLOOKUP(K6,技能属性!$A:$Z,14,FALSE)+SUM(_xlfn.XLOOKUP(L6:Z6,增益属性!$A:$A,增益属性!$L:$L))</f>
        <v>0</v>
      </c>
      <c r="AN6" s="29" cm="1">
        <f t="array" ref="AN6">VLOOKUP(K6,技能属性!$A:$Z,15,FALSE)+SUM(_xlfn.XLOOKUP(L6:Z6,增益属性!$A:$A,增益属性!$M:$M))</f>
        <v>0</v>
      </c>
    </row>
    <row r="7" customHeight="1" spans="1:40">
      <c r="A7" s="51" t="s">
        <v>57</v>
      </c>
      <c r="B7" s="30" t="s">
        <v>58</v>
      </c>
      <c r="C7" s="30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805</v>
      </c>
      <c r="D7" s="60"/>
      <c r="E7" s="61"/>
      <c r="F7" s="62"/>
      <c r="G7" s="36">
        <f t="shared" si="0"/>
        <v>68078.20824189</v>
      </c>
      <c r="H7" s="36">
        <f t="shared" si="1"/>
        <v>45385.47216126</v>
      </c>
      <c r="I7" s="36">
        <f t="shared" si="2"/>
        <v>49016.3099341608</v>
      </c>
      <c r="J7" s="49">
        <v>1</v>
      </c>
      <c r="K7" s="45" t="s">
        <v>59</v>
      </c>
      <c r="L7" s="45" t="s">
        <v>39</v>
      </c>
      <c r="M7" s="45" t="s">
        <v>40</v>
      </c>
      <c r="N7" s="45" t="s">
        <v>88</v>
      </c>
      <c r="O7" s="45" t="s">
        <v>43</v>
      </c>
      <c r="P7" s="45" t="s">
        <v>43</v>
      </c>
      <c r="Q7" s="45" t="s">
        <v>43</v>
      </c>
      <c r="R7" s="45" t="s">
        <v>43</v>
      </c>
      <c r="S7" s="45" t="s">
        <v>43</v>
      </c>
      <c r="T7" s="45" t="s">
        <v>43</v>
      </c>
      <c r="U7" s="45" t="s">
        <v>43</v>
      </c>
      <c r="V7" s="45" t="s">
        <v>43</v>
      </c>
      <c r="W7" s="45" t="s">
        <v>43</v>
      </c>
      <c r="X7" s="45" t="s">
        <v>43</v>
      </c>
      <c r="Y7" s="45" t="s">
        <v>43</v>
      </c>
      <c r="Z7" s="46" t="s">
        <v>43</v>
      </c>
      <c r="AA7" s="50">
        <f>VLOOKUP(K7,技能属性!$A:$AB,2,FALSE)</f>
        <v>7</v>
      </c>
      <c r="AB7" s="50" cm="1">
        <f t="array" ref="AB7">$C$8+SUM(_xlfn.XLOOKUP(L7:Z7,增益属性!$A:$A,增益属性!$N:$N,0))</f>
        <v>0.08</v>
      </c>
      <c r="AC7" s="36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5196.6288</v>
      </c>
      <c r="AD7" s="29" cm="1">
        <f t="array" ref="AD7">$C$10+VLOOKUP(K7,技能属性!$A:$Z,3,FALSE)+SUM(_xlfn.XLOOKUP(L7:Z7,增益属性!$A:$A,增益属性!$B:$B))</f>
        <v>0.16</v>
      </c>
      <c r="AE7" s="29" cm="1">
        <f t="array" ref="AE7">$C$11+VLOOKUP(K7,技能属性!$A:$AB,4,FALSE)+SUM(_xlfn.XLOOKUP(L7:Z7,增益属性!$A:$A,增益属性!$C:$C))</f>
        <v>1.5</v>
      </c>
      <c r="AF7" s="29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1.3765</v>
      </c>
      <c r="AG7" s="29" cm="1">
        <f t="array" ref="AG7">IF(VLOOKUP(K7,技能属性!$A:$Z,8,FALSE)=0,0,$C$12+SUM(_xlfn.XLOOKUP(L7:Z7,增益属性!$A:$A,增益属性!$F:$F)))</f>
        <v>0</v>
      </c>
      <c r="AH7" s="29" cm="1">
        <f t="array" ref="AH7">VLOOKUP(K7,技能属性!$A:$Z,9,FALSE)+SUM(_xlfn.XLOOKUP(L7:Z7,增益属性!$A:$A,增益属性!$G:$G))</f>
        <v>0</v>
      </c>
      <c r="AI7" s="29" cm="1">
        <f t="array" ref="AI7">VLOOKUP(K7,技能属性!$A:$Z,10,FALSE)+SUM(_xlfn.XLOOKUP(L7:Z7,增益属性!$A:$A,增益属性!$H:$H))</f>
        <v>0.05</v>
      </c>
      <c r="AJ7" s="29" cm="1">
        <f t="array" ref="AJ7">VLOOKUP(K7,技能属性!$A:$Z,11,FALSE)+SUM(_xlfn.XLOOKUP(L7:Z7,增益属性!$A:$A,增益属性!$I:$I))</f>
        <v>0</v>
      </c>
      <c r="AK7" s="29" cm="1">
        <f t="array" ref="AK7">VLOOKUP(K7,技能属性!$A:$Z,12,FALSE)+SUM(_xlfn.XLOOKUP(L7:Z7,增益属性!$A:$A,增益属性!$J:$J))</f>
        <v>0</v>
      </c>
      <c r="AL7" s="29" cm="1">
        <f t="array" ref="AL7">VLOOKUP(K7,技能属性!$A:$Z,13,FALSE)+SUM(_xlfn.XLOOKUP(L7:Z7,增益属性!$A:$A,增益属性!$K:$K))</f>
        <v>0</v>
      </c>
      <c r="AM7" s="29" cm="1">
        <f t="array" ref="AM7">VLOOKUP(K7,技能属性!$A:$Z,14,FALSE)+SUM(_xlfn.XLOOKUP(L7:Z7,增益属性!$A:$A,增益属性!$L:$L))</f>
        <v>0</v>
      </c>
      <c r="AN7" s="29" cm="1">
        <f t="array" ref="AN7">VLOOKUP(K7,技能属性!$A:$Z,15,FALSE)+SUM(_xlfn.XLOOKUP(L7:Z7,增益属性!$A:$A,增益属性!$M:$M))</f>
        <v>0</v>
      </c>
    </row>
    <row r="8" customHeight="1" spans="1:40">
      <c r="A8" s="48" t="s">
        <v>60</v>
      </c>
      <c r="B8" s="30" t="s">
        <v>61</v>
      </c>
      <c r="C8" s="29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0.08</v>
      </c>
      <c r="D8" s="55"/>
      <c r="E8" s="63"/>
      <c r="F8" s="64"/>
      <c r="G8" s="36">
        <f t="shared" si="0"/>
        <v>14320.2411797445</v>
      </c>
      <c r="H8" s="36">
        <f t="shared" si="1"/>
        <v>9546.827453163</v>
      </c>
      <c r="I8" s="36">
        <f t="shared" si="2"/>
        <v>10310.573649416</v>
      </c>
      <c r="J8" s="49">
        <v>1</v>
      </c>
      <c r="K8" s="45" t="s">
        <v>62</v>
      </c>
      <c r="L8" s="45" t="s">
        <v>39</v>
      </c>
      <c r="M8" s="45" t="s">
        <v>40</v>
      </c>
      <c r="N8" s="45" t="s">
        <v>88</v>
      </c>
      <c r="O8" s="45" t="s">
        <v>43</v>
      </c>
      <c r="P8" s="45" t="s">
        <v>43</v>
      </c>
      <c r="Q8" s="45" t="s">
        <v>43</v>
      </c>
      <c r="R8" s="45" t="s">
        <v>43</v>
      </c>
      <c r="S8" s="45" t="s">
        <v>43</v>
      </c>
      <c r="T8" s="45" t="s">
        <v>43</v>
      </c>
      <c r="U8" s="45" t="s">
        <v>43</v>
      </c>
      <c r="V8" s="45" t="s">
        <v>43</v>
      </c>
      <c r="W8" s="45" t="s">
        <v>43</v>
      </c>
      <c r="X8" s="45" t="s">
        <v>43</v>
      </c>
      <c r="Y8" s="45" t="s">
        <v>43</v>
      </c>
      <c r="Z8" s="46" t="s">
        <v>43</v>
      </c>
      <c r="AA8" s="50">
        <f>VLOOKUP(K8,技能属性!$A:$AB,2,FALSE)</f>
        <v>1.2</v>
      </c>
      <c r="AB8" s="50" cm="1">
        <f t="array" ref="AB8">$C$8+SUM(_xlfn.XLOOKUP(L8:Z8,增益属性!$A:$A,增益属性!$N:$N,0))</f>
        <v>0.08</v>
      </c>
      <c r="AC8" s="36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5196.6288</v>
      </c>
      <c r="AD8" s="29" cm="1">
        <f t="array" ref="AD8">$C$10+VLOOKUP(K8,技能属性!$A:$Z,3,FALSE)+SUM(_xlfn.XLOOKUP(L8:Z8,增益属性!$A:$A,增益属性!$B:$B))</f>
        <v>0.16</v>
      </c>
      <c r="AE8" s="29" cm="1">
        <f t="array" ref="AE8">$C$11+VLOOKUP(K8,技能属性!$A:$AB,4,FALSE)+SUM(_xlfn.XLOOKUP(L8:Z8,增益属性!$A:$A,增益属性!$C:$C))</f>
        <v>1.5</v>
      </c>
      <c r="AF8" s="29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1.3765</v>
      </c>
      <c r="AG8" s="29" cm="1">
        <f t="array" ref="AG8">IF(VLOOKUP(K8,技能属性!$A:$Z,8,FALSE)=0,0,$C$12+SUM(_xlfn.XLOOKUP(L8:Z8,增益属性!$A:$A,增益属性!$F:$F)))</f>
        <v>0</v>
      </c>
      <c r="AH8" s="29" cm="1">
        <f t="array" ref="AH8">VLOOKUP(K8,技能属性!$A:$Z,9,FALSE)+SUM(_xlfn.XLOOKUP(L8:Z8,增益属性!$A:$A,增益属性!$G:$G))</f>
        <v>0</v>
      </c>
      <c r="AI8" s="29" cm="1">
        <f t="array" ref="AI8">VLOOKUP(K8,技能属性!$A:$Z,10,FALSE)+SUM(_xlfn.XLOOKUP(L8:Z8,增益属性!$A:$A,增益属性!$H:$H))</f>
        <v>0.05</v>
      </c>
      <c r="AJ8" s="29" cm="1">
        <f t="array" ref="AJ8">VLOOKUP(K8,技能属性!$A:$Z,11,FALSE)+SUM(_xlfn.XLOOKUP(L8:Z8,增益属性!$A:$A,增益属性!$I:$I))</f>
        <v>0</v>
      </c>
      <c r="AK8" s="29" cm="1">
        <f t="array" ref="AK8">VLOOKUP(K8,技能属性!$A:$Z,12,FALSE)+SUM(_xlfn.XLOOKUP(L8:Z8,增益属性!$A:$A,增益属性!$J:$J))</f>
        <v>0</v>
      </c>
      <c r="AL8" s="29" cm="1">
        <f t="array" ref="AL8">VLOOKUP(K8,技能属性!$A:$Z,13,FALSE)+SUM(_xlfn.XLOOKUP(L8:Z8,增益属性!$A:$A,增益属性!$K:$K))</f>
        <v>0</v>
      </c>
      <c r="AM8" s="29" cm="1">
        <f t="array" ref="AM8">VLOOKUP(K8,技能属性!$A:$Z,14,FALSE)+SUM(_xlfn.XLOOKUP(L8:Z8,增益属性!$A:$A,增益属性!$L:$L))</f>
        <v>0</v>
      </c>
      <c r="AN8" s="29" cm="1">
        <f t="array" ref="AN8">VLOOKUP(K8,技能属性!$A:$Z,15,FALSE)+SUM(_xlfn.XLOOKUP(L8:Z8,增益属性!$A:$A,增益属性!$M:$M))</f>
        <v>0.227040816326531</v>
      </c>
    </row>
    <row r="9" customHeight="1" spans="1:40">
      <c r="A9" s="51" t="s">
        <v>63</v>
      </c>
      <c r="B9" s="30" t="s">
        <v>64</v>
      </c>
      <c r="C9" s="29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3.952</v>
      </c>
      <c r="D9" s="52" t="s">
        <v>65</v>
      </c>
      <c r="E9" s="61">
        <f>E6/E4</f>
        <v>372956.783092287</v>
      </c>
      <c r="F9" s="62"/>
      <c r="G9" s="36">
        <f t="shared" si="0"/>
        <v>0</v>
      </c>
      <c r="H9" s="36">
        <f t="shared" si="1"/>
        <v>0</v>
      </c>
      <c r="I9" s="36">
        <f t="shared" si="2"/>
        <v>0</v>
      </c>
      <c r="J9" s="49">
        <v>1</v>
      </c>
      <c r="K9" s="45" t="s">
        <v>43</v>
      </c>
      <c r="L9" s="45" t="s">
        <v>43</v>
      </c>
      <c r="M9" s="45" t="s">
        <v>43</v>
      </c>
      <c r="N9" s="45" t="s">
        <v>43</v>
      </c>
      <c r="O9" s="45" t="s">
        <v>43</v>
      </c>
      <c r="P9" s="45" t="s">
        <v>43</v>
      </c>
      <c r="Q9" s="45" t="s">
        <v>43</v>
      </c>
      <c r="R9" s="45" t="s">
        <v>43</v>
      </c>
      <c r="S9" s="45" t="s">
        <v>43</v>
      </c>
      <c r="T9" s="45" t="s">
        <v>43</v>
      </c>
      <c r="U9" s="45" t="s">
        <v>43</v>
      </c>
      <c r="V9" s="45" t="s">
        <v>43</v>
      </c>
      <c r="W9" s="45" t="s">
        <v>43</v>
      </c>
      <c r="X9" s="45" t="s">
        <v>43</v>
      </c>
      <c r="Y9" s="45" t="s">
        <v>43</v>
      </c>
      <c r="Z9" s="46" t="s">
        <v>43</v>
      </c>
      <c r="AA9" s="50">
        <f>VLOOKUP(K9,技能属性!$A:$AB,2,FALSE)</f>
        <v>0</v>
      </c>
      <c r="AB9" s="50" cm="1">
        <f t="array" ref="AB9">$C$8+SUM(_xlfn.XLOOKUP(L9:Z9,增益属性!$A:$A,增益属性!$N:$N,0))</f>
        <v>0.08</v>
      </c>
      <c r="AC9" s="36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5196.6288</v>
      </c>
      <c r="AD9" s="29" cm="1">
        <f t="array" ref="AD9">$C$10+VLOOKUP(K9,技能属性!$A:$Z,3,FALSE)+SUM(_xlfn.XLOOKUP(L9:Z9,增益属性!$A:$A,增益属性!$B:$B))</f>
        <v>0.16</v>
      </c>
      <c r="AE9" s="29" cm="1">
        <f t="array" ref="AE9">$C$11+VLOOKUP(K9,技能属性!$A:$AB,4,FALSE)+SUM(_xlfn.XLOOKUP(L9:Z9,增益属性!$A:$A,增益属性!$C:$C))</f>
        <v>1.5</v>
      </c>
      <c r="AF9" s="29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0.6445</v>
      </c>
      <c r="AG9" s="29" cm="1">
        <f t="array" ref="AG9">IF(VLOOKUP(K9,技能属性!$A:$Z,8,FALSE)=0,0,$C$12+SUM(_xlfn.XLOOKUP(L9:Z9,增益属性!$A:$A,增益属性!$F:$F)))</f>
        <v>0</v>
      </c>
      <c r="AH9" s="29" cm="1">
        <f t="array" ref="AH9">VLOOKUP(K9,技能属性!$A:$Z,9,FALSE)+SUM(_xlfn.XLOOKUP(L9:Z9,增益属性!$A:$A,增益属性!$G:$G))</f>
        <v>0</v>
      </c>
      <c r="AI9" s="29" cm="1">
        <f t="array" ref="AI9">VLOOKUP(K9,技能属性!$A:$Z,10,FALSE)+SUM(_xlfn.XLOOKUP(L9:Z9,增益属性!$A:$A,增益属性!$H:$H))</f>
        <v>0</v>
      </c>
      <c r="AJ9" s="29" cm="1">
        <f t="array" ref="AJ9">VLOOKUP(K9,技能属性!$A:$Z,11,FALSE)+SUM(_xlfn.XLOOKUP(L9:Z9,增益属性!$A:$A,增益属性!$I:$I))</f>
        <v>0</v>
      </c>
      <c r="AK9" s="29" cm="1">
        <f t="array" ref="AK9">VLOOKUP(K9,技能属性!$A:$Z,12,FALSE)+SUM(_xlfn.XLOOKUP(L9:Z9,增益属性!$A:$A,增益属性!$J:$J))</f>
        <v>0</v>
      </c>
      <c r="AL9" s="29" cm="1">
        <f t="array" ref="AL9">VLOOKUP(K9,技能属性!$A:$Z,13,FALSE)+SUM(_xlfn.XLOOKUP(L9:Z9,增益属性!$A:$A,增益属性!$K:$K))</f>
        <v>0</v>
      </c>
      <c r="AM9" s="29" cm="1">
        <f t="array" ref="AM9">VLOOKUP(K9,技能属性!$A:$Z,14,FALSE)+SUM(_xlfn.XLOOKUP(L9:Z9,增益属性!$A:$A,增益属性!$L:$L))</f>
        <v>0</v>
      </c>
      <c r="AN9" s="29" cm="1">
        <f t="array" ref="AN9">VLOOKUP(K9,技能属性!$A:$Z,15,FALSE)+SUM(_xlfn.XLOOKUP(L9:Z9,增益属性!$A:$A,增益属性!$M:$M))</f>
        <v>0</v>
      </c>
    </row>
    <row r="10" customHeight="1" spans="1:40">
      <c r="A10" s="48" t="s">
        <v>66</v>
      </c>
      <c r="B10" s="30" t="s">
        <v>27</v>
      </c>
      <c r="C10" s="29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0.16</v>
      </c>
      <c r="D10" s="60"/>
      <c r="E10" s="61"/>
      <c r="F10" s="62"/>
      <c r="G10" s="36">
        <f t="shared" si="0"/>
        <v>0</v>
      </c>
      <c r="H10" s="36">
        <f t="shared" si="1"/>
        <v>0</v>
      </c>
      <c r="I10" s="36">
        <f t="shared" si="2"/>
        <v>0</v>
      </c>
      <c r="J10" s="49">
        <v>1</v>
      </c>
      <c r="K10" s="45" t="s">
        <v>43</v>
      </c>
      <c r="L10" s="45" t="s">
        <v>43</v>
      </c>
      <c r="M10" s="45" t="s">
        <v>43</v>
      </c>
      <c r="N10" s="45" t="s">
        <v>43</v>
      </c>
      <c r="O10" s="45" t="s">
        <v>43</v>
      </c>
      <c r="P10" s="45" t="s">
        <v>43</v>
      </c>
      <c r="Q10" s="45" t="s">
        <v>43</v>
      </c>
      <c r="R10" s="45" t="s">
        <v>43</v>
      </c>
      <c r="S10" s="45" t="s">
        <v>43</v>
      </c>
      <c r="T10" s="45" t="s">
        <v>43</v>
      </c>
      <c r="U10" s="45" t="s">
        <v>43</v>
      </c>
      <c r="V10" s="45" t="s">
        <v>43</v>
      </c>
      <c r="W10" s="45" t="s">
        <v>43</v>
      </c>
      <c r="X10" s="45" t="s">
        <v>43</v>
      </c>
      <c r="Y10" s="45" t="s">
        <v>43</v>
      </c>
      <c r="Z10" s="46" t="s">
        <v>43</v>
      </c>
      <c r="AA10" s="50">
        <f>VLOOKUP(K10,技能属性!$A:$AB,2,FALSE)</f>
        <v>0</v>
      </c>
      <c r="AB10" s="50" cm="1">
        <f t="array" ref="AB10">$C$8+SUM(_xlfn.XLOOKUP(L10:Z10,增益属性!$A:$A,增益属性!$N:$N,0))</f>
        <v>0.08</v>
      </c>
      <c r="AC10" s="36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5196.6288</v>
      </c>
      <c r="AD10" s="29" cm="1">
        <f t="array" ref="AD10">$C$10+VLOOKUP(K10,技能属性!$A:$Z,3,FALSE)+SUM(_xlfn.XLOOKUP(L10:Z10,增益属性!$A:$A,增益属性!$B:$B))</f>
        <v>0.16</v>
      </c>
      <c r="AE10" s="29" cm="1">
        <f t="array" ref="AE10">$C$11+VLOOKUP(K10,技能属性!$A:$AB,4,FALSE)+SUM(_xlfn.XLOOKUP(L10:Z10,增益属性!$A:$A,增益属性!$C:$C))</f>
        <v>1.5</v>
      </c>
      <c r="AF10" s="29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0.6445</v>
      </c>
      <c r="AG10" s="29" cm="1">
        <f t="array" ref="AG10">IF(VLOOKUP(K10,技能属性!$A:$Z,8,FALSE)=0,0,$C$12+SUM(_xlfn.XLOOKUP(L10:Z10,增益属性!$A:$A,增益属性!$F:$F)))</f>
        <v>0</v>
      </c>
      <c r="AH10" s="29" cm="1">
        <f t="array" ref="AH10">VLOOKUP(K10,技能属性!$A:$Z,9,FALSE)+SUM(_xlfn.XLOOKUP(L10:Z10,增益属性!$A:$A,增益属性!$G:$G))</f>
        <v>0</v>
      </c>
      <c r="AI10" s="29" cm="1">
        <f t="array" ref="AI10">VLOOKUP(K10,技能属性!$A:$Z,10,FALSE)+SUM(_xlfn.XLOOKUP(L10:Z10,增益属性!$A:$A,增益属性!$H:$H))</f>
        <v>0</v>
      </c>
      <c r="AJ10" s="29" cm="1">
        <f t="array" ref="AJ10">VLOOKUP(K10,技能属性!$A:$Z,11,FALSE)+SUM(_xlfn.XLOOKUP(L10:Z10,增益属性!$A:$A,增益属性!$I:$I))</f>
        <v>0</v>
      </c>
      <c r="AK10" s="29" cm="1">
        <f t="array" ref="AK10">VLOOKUP(K10,技能属性!$A:$Z,12,FALSE)+SUM(_xlfn.XLOOKUP(L10:Z10,增益属性!$A:$A,增益属性!$J:$J))</f>
        <v>0</v>
      </c>
      <c r="AL10" s="29" cm="1">
        <f t="array" ref="AL10">VLOOKUP(K10,技能属性!$A:$Z,13,FALSE)+SUM(_xlfn.XLOOKUP(L10:Z10,增益属性!$A:$A,增益属性!$K:$K))</f>
        <v>0</v>
      </c>
      <c r="AM10" s="29" cm="1">
        <f t="array" ref="AM10">VLOOKUP(K10,技能属性!$A:$Z,14,FALSE)+SUM(_xlfn.XLOOKUP(L10:Z10,增益属性!$A:$A,增益属性!$L:$L))</f>
        <v>0</v>
      </c>
      <c r="AN10" s="29" cm="1">
        <f t="array" ref="AN10">VLOOKUP(K10,技能属性!$A:$Z,15,FALSE)+SUM(_xlfn.XLOOKUP(L10:Z10,增益属性!$A:$A,增益属性!$M:$M))</f>
        <v>0</v>
      </c>
    </row>
    <row r="11" customHeight="1" spans="1:40">
      <c r="A11" s="51" t="s">
        <v>67</v>
      </c>
      <c r="B11" s="30" t="s">
        <v>4</v>
      </c>
      <c r="C11" s="29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5"/>
      <c r="E11" s="63"/>
      <c r="F11" s="64"/>
      <c r="G11" s="36">
        <f t="shared" si="0"/>
        <v>0</v>
      </c>
      <c r="H11" s="36">
        <f t="shared" si="1"/>
        <v>0</v>
      </c>
      <c r="I11" s="36">
        <f t="shared" si="2"/>
        <v>0</v>
      </c>
      <c r="J11" s="49">
        <v>1</v>
      </c>
      <c r="K11" s="45" t="s">
        <v>43</v>
      </c>
      <c r="L11" s="45" t="s">
        <v>43</v>
      </c>
      <c r="M11" s="45" t="s">
        <v>43</v>
      </c>
      <c r="N11" s="45" t="s">
        <v>43</v>
      </c>
      <c r="O11" s="45" t="s">
        <v>43</v>
      </c>
      <c r="P11" s="45" t="s">
        <v>43</v>
      </c>
      <c r="Q11" s="45" t="s">
        <v>43</v>
      </c>
      <c r="R11" s="45" t="s">
        <v>43</v>
      </c>
      <c r="S11" s="45" t="s">
        <v>43</v>
      </c>
      <c r="T11" s="45" t="s">
        <v>43</v>
      </c>
      <c r="U11" s="45" t="s">
        <v>43</v>
      </c>
      <c r="V11" s="45" t="s">
        <v>43</v>
      </c>
      <c r="W11" s="45" t="s">
        <v>43</v>
      </c>
      <c r="X11" s="45" t="s">
        <v>43</v>
      </c>
      <c r="Y11" s="45" t="s">
        <v>43</v>
      </c>
      <c r="Z11" s="46" t="s">
        <v>43</v>
      </c>
      <c r="AA11" s="50">
        <f>VLOOKUP(K11,技能属性!$A:$AB,2,FALSE)</f>
        <v>0</v>
      </c>
      <c r="AB11" s="50" cm="1">
        <f t="array" ref="AB11">$C$8+SUM(_xlfn.XLOOKUP(L11:Z11,增益属性!$A:$A,增益属性!$N:$N,0))</f>
        <v>0.08</v>
      </c>
      <c r="AC11" s="36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5196.6288</v>
      </c>
      <c r="AD11" s="29" cm="1">
        <f t="array" ref="AD11">$C$10+VLOOKUP(K11,技能属性!$A:$Z,3,FALSE)+SUM(_xlfn.XLOOKUP(L11:Z11,增益属性!$A:$A,增益属性!$B:$B))</f>
        <v>0.16</v>
      </c>
      <c r="AE11" s="29" cm="1">
        <f t="array" ref="AE11">$C$11+VLOOKUP(K11,技能属性!$A:$AB,4,FALSE)+SUM(_xlfn.XLOOKUP(L11:Z11,增益属性!$A:$A,增益属性!$C:$C))</f>
        <v>1.5</v>
      </c>
      <c r="AF11" s="29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0.6445</v>
      </c>
      <c r="AG11" s="29" cm="1">
        <f t="array" ref="AG11">IF(VLOOKUP(K11,技能属性!$A:$Z,8,FALSE)=0,0,$C$12+SUM(_xlfn.XLOOKUP(L11:Z11,增益属性!$A:$A,增益属性!$F:$F)))</f>
        <v>0</v>
      </c>
      <c r="AH11" s="29" cm="1">
        <f t="array" ref="AH11">VLOOKUP(K11,技能属性!$A:$Z,9,FALSE)+SUM(_xlfn.XLOOKUP(L11:Z11,增益属性!$A:$A,增益属性!$G:$G))</f>
        <v>0</v>
      </c>
      <c r="AI11" s="29" cm="1">
        <f t="array" ref="AI11">VLOOKUP(K11,技能属性!$A:$Z,10,FALSE)+SUM(_xlfn.XLOOKUP(L11:Z11,增益属性!$A:$A,增益属性!$H:$H))</f>
        <v>0</v>
      </c>
      <c r="AJ11" s="29" cm="1">
        <f t="array" ref="AJ11">VLOOKUP(K11,技能属性!$A:$Z,11,FALSE)+SUM(_xlfn.XLOOKUP(L11:Z11,增益属性!$A:$A,增益属性!$I:$I))</f>
        <v>0</v>
      </c>
      <c r="AK11" s="29" cm="1">
        <f t="array" ref="AK11">VLOOKUP(K11,技能属性!$A:$Z,12,FALSE)+SUM(_xlfn.XLOOKUP(L11:Z11,增益属性!$A:$A,增益属性!$J:$J))</f>
        <v>0</v>
      </c>
      <c r="AL11" s="29" cm="1">
        <f t="array" ref="AL11">VLOOKUP(K11,技能属性!$A:$Z,13,FALSE)+SUM(_xlfn.XLOOKUP(L11:Z11,增益属性!$A:$A,增益属性!$K:$K))</f>
        <v>0</v>
      </c>
      <c r="AM11" s="29" cm="1">
        <f t="array" ref="AM11">VLOOKUP(K11,技能属性!$A:$Z,14,FALSE)+SUM(_xlfn.XLOOKUP(L11:Z11,增益属性!$A:$A,增益属性!$L:$L))</f>
        <v>0</v>
      </c>
      <c r="AN11" s="29" cm="1">
        <f t="array" ref="AN11">VLOOKUP(K11,技能属性!$A:$Z,15,FALSE)+SUM(_xlfn.XLOOKUP(L11:Z11,增益属性!$A:$A,增益属性!$M:$M))</f>
        <v>0</v>
      </c>
    </row>
    <row r="12" customHeight="1" spans="1:40">
      <c r="A12" s="48" t="s">
        <v>68</v>
      </c>
      <c r="B12" s="30" t="s">
        <v>69</v>
      </c>
      <c r="C12" s="29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1.7667</v>
      </c>
      <c r="G12" s="36">
        <f t="shared" si="0"/>
        <v>0</v>
      </c>
      <c r="H12" s="36">
        <f t="shared" si="1"/>
        <v>0</v>
      </c>
      <c r="I12" s="36">
        <f t="shared" si="2"/>
        <v>0</v>
      </c>
      <c r="J12" s="49">
        <v>1</v>
      </c>
      <c r="K12" s="45" t="s">
        <v>43</v>
      </c>
      <c r="L12" s="45" t="s">
        <v>43</v>
      </c>
      <c r="M12" s="45" t="s">
        <v>43</v>
      </c>
      <c r="N12" s="45" t="s">
        <v>43</v>
      </c>
      <c r="O12" s="45" t="s">
        <v>43</v>
      </c>
      <c r="P12" s="45" t="s">
        <v>43</v>
      </c>
      <c r="Q12" s="45" t="s">
        <v>43</v>
      </c>
      <c r="R12" s="45" t="s">
        <v>43</v>
      </c>
      <c r="S12" s="45" t="s">
        <v>43</v>
      </c>
      <c r="T12" s="45" t="s">
        <v>43</v>
      </c>
      <c r="U12" s="45" t="s">
        <v>43</v>
      </c>
      <c r="V12" s="45" t="s">
        <v>43</v>
      </c>
      <c r="W12" s="45" t="s">
        <v>43</v>
      </c>
      <c r="X12" s="45" t="s">
        <v>43</v>
      </c>
      <c r="Y12" s="45" t="s">
        <v>43</v>
      </c>
      <c r="Z12" s="46" t="s">
        <v>43</v>
      </c>
      <c r="AA12" s="50">
        <f>VLOOKUP(K12,技能属性!$A:$AB,2,FALSE)</f>
        <v>0</v>
      </c>
      <c r="AB12" s="50" cm="1">
        <f t="array" ref="AB12">$C$8+SUM(_xlfn.XLOOKUP(L12:Z12,增益属性!$A:$A,增益属性!$N:$N,0))</f>
        <v>0.08</v>
      </c>
      <c r="AC12" s="36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5196.6288</v>
      </c>
      <c r="AD12" s="29" cm="1">
        <f t="array" ref="AD12">$C$10+VLOOKUP(K12,技能属性!$A:$Z,3,FALSE)+SUM(_xlfn.XLOOKUP(L12:Z12,增益属性!$A:$A,增益属性!$B:$B))</f>
        <v>0.16</v>
      </c>
      <c r="AE12" s="29" cm="1">
        <f t="array" ref="AE12">$C$11+VLOOKUP(K12,技能属性!$A:$AB,4,FALSE)+SUM(_xlfn.XLOOKUP(L12:Z12,增益属性!$A:$A,增益属性!$C:$C))</f>
        <v>1.5</v>
      </c>
      <c r="AF12" s="29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0.6445</v>
      </c>
      <c r="AG12" s="29" cm="1">
        <f t="array" ref="AG12">IF(VLOOKUP(K12,技能属性!$A:$Z,8,FALSE)=0,0,$C$12+SUM(_xlfn.XLOOKUP(L12:Z12,增益属性!$A:$A,增益属性!$F:$F)))</f>
        <v>0</v>
      </c>
      <c r="AH12" s="29" cm="1">
        <f t="array" ref="AH12">VLOOKUP(K12,技能属性!$A:$Z,9,FALSE)+SUM(_xlfn.XLOOKUP(L12:Z12,增益属性!$A:$A,增益属性!$G:$G))</f>
        <v>0</v>
      </c>
      <c r="AI12" s="29" cm="1">
        <f t="array" ref="AI12">VLOOKUP(K12,技能属性!$A:$Z,10,FALSE)+SUM(_xlfn.XLOOKUP(L12:Z12,增益属性!$A:$A,增益属性!$H:$H))</f>
        <v>0</v>
      </c>
      <c r="AJ12" s="29" cm="1">
        <f t="array" ref="AJ12">VLOOKUP(K12,技能属性!$A:$Z,11,FALSE)+SUM(_xlfn.XLOOKUP(L12:Z12,增益属性!$A:$A,增益属性!$I:$I))</f>
        <v>0</v>
      </c>
      <c r="AK12" s="29" cm="1">
        <f t="array" ref="AK12">VLOOKUP(K12,技能属性!$A:$Z,12,FALSE)+SUM(_xlfn.XLOOKUP(L12:Z12,增益属性!$A:$A,增益属性!$J:$J))</f>
        <v>0</v>
      </c>
      <c r="AL12" s="29" cm="1">
        <f t="array" ref="AL12">VLOOKUP(K12,技能属性!$A:$Z,13,FALSE)+SUM(_xlfn.XLOOKUP(L12:Z12,增益属性!$A:$A,增益属性!$K:$K))</f>
        <v>0</v>
      </c>
      <c r="AM12" s="29" cm="1">
        <f t="array" ref="AM12">VLOOKUP(K12,技能属性!$A:$Z,14,FALSE)+SUM(_xlfn.XLOOKUP(L12:Z12,增益属性!$A:$A,增益属性!$L:$L))</f>
        <v>0</v>
      </c>
      <c r="AN12" s="29" cm="1">
        <f t="array" ref="AN12">VLOOKUP(K12,技能属性!$A:$Z,15,FALSE)+SUM(_xlfn.XLOOKUP(L12:Z12,增益属性!$A:$A,增益属性!$M:$M))</f>
        <v>0</v>
      </c>
    </row>
    <row r="13" customHeight="1" spans="1:40">
      <c r="A13" s="51" t="s">
        <v>70</v>
      </c>
      <c r="B13" s="30" t="s">
        <v>71</v>
      </c>
      <c r="C13" s="29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</v>
      </c>
      <c r="G13" s="36">
        <f t="shared" si="0"/>
        <v>0</v>
      </c>
      <c r="H13" s="36">
        <f t="shared" si="1"/>
        <v>0</v>
      </c>
      <c r="I13" s="36">
        <f t="shared" si="2"/>
        <v>0</v>
      </c>
      <c r="J13" s="49">
        <v>1</v>
      </c>
      <c r="K13" s="45" t="s">
        <v>43</v>
      </c>
      <c r="L13" s="45" t="s">
        <v>43</v>
      </c>
      <c r="M13" s="45" t="s">
        <v>43</v>
      </c>
      <c r="N13" s="45" t="s">
        <v>43</v>
      </c>
      <c r="O13" s="45" t="s">
        <v>43</v>
      </c>
      <c r="P13" s="45" t="s">
        <v>43</v>
      </c>
      <c r="Q13" s="45" t="s">
        <v>43</v>
      </c>
      <c r="R13" s="45" t="s">
        <v>43</v>
      </c>
      <c r="S13" s="45" t="s">
        <v>43</v>
      </c>
      <c r="T13" s="45" t="s">
        <v>43</v>
      </c>
      <c r="U13" s="45" t="s">
        <v>43</v>
      </c>
      <c r="V13" s="45" t="s">
        <v>43</v>
      </c>
      <c r="W13" s="45" t="s">
        <v>43</v>
      </c>
      <c r="X13" s="45" t="s">
        <v>43</v>
      </c>
      <c r="Y13" s="45" t="s">
        <v>43</v>
      </c>
      <c r="Z13" s="46" t="s">
        <v>43</v>
      </c>
      <c r="AA13" s="50">
        <f>VLOOKUP(K13,技能属性!$A:$AB,2,FALSE)</f>
        <v>0</v>
      </c>
      <c r="AB13" s="50" cm="1">
        <f t="array" ref="AB13">$C$8+SUM(_xlfn.XLOOKUP(L13:Z13,增益属性!$A:$A,增益属性!$N:$N,0))</f>
        <v>0.08</v>
      </c>
      <c r="AC13" s="36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5196.6288</v>
      </c>
      <c r="AD13" s="29" cm="1">
        <f t="array" ref="AD13">$C$10+VLOOKUP(K13,技能属性!$A:$Z,3,FALSE)+SUM(_xlfn.XLOOKUP(L13:Z13,增益属性!$A:$A,增益属性!$B:$B))</f>
        <v>0.16</v>
      </c>
      <c r="AE13" s="29" cm="1">
        <f t="array" ref="AE13">$C$11+VLOOKUP(K13,技能属性!$A:$AB,4,FALSE)+SUM(_xlfn.XLOOKUP(L13:Z13,增益属性!$A:$A,增益属性!$C:$C))</f>
        <v>1.5</v>
      </c>
      <c r="AF13" s="29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0.6445</v>
      </c>
      <c r="AG13" s="29" cm="1">
        <f t="array" ref="AG13">IF(VLOOKUP(K13,技能属性!$A:$Z,8,FALSE)=0,0,$C$12+SUM(_xlfn.XLOOKUP(L13:Z13,增益属性!$A:$A,增益属性!$F:$F)))</f>
        <v>0</v>
      </c>
      <c r="AH13" s="29" cm="1">
        <f t="array" ref="AH13">VLOOKUP(K13,技能属性!$A:$Z,9,FALSE)+SUM(_xlfn.XLOOKUP(L13:Z13,增益属性!$A:$A,增益属性!$G:$G))</f>
        <v>0</v>
      </c>
      <c r="AI13" s="29" cm="1">
        <f t="array" ref="AI13">VLOOKUP(K13,技能属性!$A:$Z,10,FALSE)+SUM(_xlfn.XLOOKUP(L13:Z13,增益属性!$A:$A,增益属性!$H:$H))</f>
        <v>0</v>
      </c>
      <c r="AJ13" s="29" cm="1">
        <f t="array" ref="AJ13">VLOOKUP(K13,技能属性!$A:$Z,11,FALSE)+SUM(_xlfn.XLOOKUP(L13:Z13,增益属性!$A:$A,增益属性!$I:$I))</f>
        <v>0</v>
      </c>
      <c r="AK13" s="29" cm="1">
        <f t="array" ref="AK13">VLOOKUP(K13,技能属性!$A:$Z,12,FALSE)+SUM(_xlfn.XLOOKUP(L13:Z13,增益属性!$A:$A,增益属性!$J:$J))</f>
        <v>0</v>
      </c>
      <c r="AL13" s="29" cm="1">
        <f t="array" ref="AL13">VLOOKUP(K13,技能属性!$A:$Z,13,FALSE)+SUM(_xlfn.XLOOKUP(L13:Z13,增益属性!$A:$A,增益属性!$K:$K))</f>
        <v>0</v>
      </c>
      <c r="AM13" s="29" cm="1">
        <f t="array" ref="AM13">VLOOKUP(K13,技能属性!$A:$Z,14,FALSE)+SUM(_xlfn.XLOOKUP(L13:Z13,增益属性!$A:$A,增益属性!$L:$L))</f>
        <v>0</v>
      </c>
      <c r="AN13" s="29" cm="1">
        <f t="array" ref="AN13">VLOOKUP(K13,技能属性!$A:$Z,15,FALSE)+SUM(_xlfn.XLOOKUP(L13:Z13,增益属性!$A:$A,增益属性!$M:$M))</f>
        <v>0</v>
      </c>
    </row>
    <row r="14" customHeight="1" spans="1:40">
      <c r="A14" s="48" t="s">
        <v>72</v>
      </c>
      <c r="B14" s="30" t="s">
        <v>73</v>
      </c>
      <c r="C14" s="29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0.6445</v>
      </c>
      <c r="G14" s="36">
        <f t="shared" si="0"/>
        <v>0</v>
      </c>
      <c r="H14" s="36">
        <f t="shared" si="1"/>
        <v>0</v>
      </c>
      <c r="I14" s="36">
        <f t="shared" si="2"/>
        <v>0</v>
      </c>
      <c r="J14" s="49">
        <v>1</v>
      </c>
      <c r="K14" s="45" t="s">
        <v>43</v>
      </c>
      <c r="L14" s="45" t="s">
        <v>43</v>
      </c>
      <c r="M14" s="45" t="s">
        <v>43</v>
      </c>
      <c r="N14" s="45" t="s">
        <v>43</v>
      </c>
      <c r="O14" s="45" t="s">
        <v>43</v>
      </c>
      <c r="P14" s="45" t="s">
        <v>43</v>
      </c>
      <c r="Q14" s="45" t="s">
        <v>43</v>
      </c>
      <c r="R14" s="45" t="s">
        <v>43</v>
      </c>
      <c r="S14" s="45" t="s">
        <v>43</v>
      </c>
      <c r="T14" s="45" t="s">
        <v>43</v>
      </c>
      <c r="U14" s="45" t="s">
        <v>43</v>
      </c>
      <c r="V14" s="45" t="s">
        <v>43</v>
      </c>
      <c r="W14" s="45" t="s">
        <v>43</v>
      </c>
      <c r="X14" s="45" t="s">
        <v>43</v>
      </c>
      <c r="Y14" s="45" t="s">
        <v>43</v>
      </c>
      <c r="Z14" s="46" t="s">
        <v>43</v>
      </c>
      <c r="AA14" s="50">
        <f>VLOOKUP(K14,技能属性!$A:$AB,2,FALSE)</f>
        <v>0</v>
      </c>
      <c r="AB14" s="50" cm="1">
        <f t="array" ref="AB14">$C$8+SUM(_xlfn.XLOOKUP(L14:Z14,增益属性!$A:$A,增益属性!$N:$N,0))</f>
        <v>0.08</v>
      </c>
      <c r="AC14" s="36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5196.6288</v>
      </c>
      <c r="AD14" s="29" cm="1">
        <f t="array" ref="AD14">$C$10+VLOOKUP(K14,技能属性!$A:$Z,3,FALSE)+SUM(_xlfn.XLOOKUP(L14:Z14,增益属性!$A:$A,增益属性!$B:$B))</f>
        <v>0.16</v>
      </c>
      <c r="AE14" s="29" cm="1">
        <f t="array" ref="AE14">$C$11+VLOOKUP(K14,技能属性!$A:$AB,4,FALSE)+SUM(_xlfn.XLOOKUP(L14:Z14,增益属性!$A:$A,增益属性!$C:$C))</f>
        <v>1.5</v>
      </c>
      <c r="AF14" s="29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0.6445</v>
      </c>
      <c r="AG14" s="29" cm="1">
        <f t="array" ref="AG14">IF(VLOOKUP(K14,技能属性!$A:$Z,8,FALSE)=0,0,$C$12+SUM(_xlfn.XLOOKUP(L14:Z14,增益属性!$A:$A,增益属性!$F:$F)))</f>
        <v>0</v>
      </c>
      <c r="AH14" s="29" cm="1">
        <f t="array" ref="AH14">VLOOKUP(K14,技能属性!$A:$Z,9,FALSE)+SUM(_xlfn.XLOOKUP(L14:Z14,增益属性!$A:$A,增益属性!$G:$G))</f>
        <v>0</v>
      </c>
      <c r="AI14" s="29" cm="1">
        <f t="array" ref="AI14">VLOOKUP(K14,技能属性!$A:$Z,10,FALSE)+SUM(_xlfn.XLOOKUP(L14:Z14,增益属性!$A:$A,增益属性!$H:$H))</f>
        <v>0</v>
      </c>
      <c r="AJ14" s="29" cm="1">
        <f t="array" ref="AJ14">VLOOKUP(K14,技能属性!$A:$Z,11,FALSE)+SUM(_xlfn.XLOOKUP(L14:Z14,增益属性!$A:$A,增益属性!$I:$I))</f>
        <v>0</v>
      </c>
      <c r="AK14" s="29" cm="1">
        <f t="array" ref="AK14">VLOOKUP(K14,技能属性!$A:$Z,12,FALSE)+SUM(_xlfn.XLOOKUP(L14:Z14,增益属性!$A:$A,增益属性!$J:$J))</f>
        <v>0</v>
      </c>
      <c r="AL14" s="29" cm="1">
        <f t="array" ref="AL14">VLOOKUP(K14,技能属性!$A:$Z,13,FALSE)+SUM(_xlfn.XLOOKUP(L14:Z14,增益属性!$A:$A,增益属性!$K:$K))</f>
        <v>0</v>
      </c>
      <c r="AM14" s="29" cm="1">
        <f t="array" ref="AM14">VLOOKUP(K14,技能属性!$A:$Z,14,FALSE)+SUM(_xlfn.XLOOKUP(L14:Z14,增益属性!$A:$A,增益属性!$L:$L))</f>
        <v>0</v>
      </c>
      <c r="AN14" s="29" cm="1">
        <f t="array" ref="AN14">VLOOKUP(K14,技能属性!$A:$Z,15,FALSE)+SUM(_xlfn.XLOOKUP(L14:Z14,增益属性!$A:$A,增益属性!$M:$M))</f>
        <v>0</v>
      </c>
    </row>
    <row r="15" customHeight="1" spans="1:40">
      <c r="A15" s="65" t="s">
        <v>74</v>
      </c>
      <c r="B15" s="30" t="s">
        <v>75</v>
      </c>
      <c r="C15" s="29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</v>
      </c>
      <c r="G15" s="36">
        <f t="shared" si="0"/>
        <v>0</v>
      </c>
      <c r="H15" s="36">
        <f t="shared" si="1"/>
        <v>0</v>
      </c>
      <c r="I15" s="36">
        <f t="shared" si="2"/>
        <v>0</v>
      </c>
      <c r="J15" s="49">
        <v>1</v>
      </c>
      <c r="K15" s="45" t="s">
        <v>43</v>
      </c>
      <c r="L15" s="45" t="s">
        <v>43</v>
      </c>
      <c r="M15" s="45" t="s">
        <v>43</v>
      </c>
      <c r="N15" s="45" t="s">
        <v>43</v>
      </c>
      <c r="O15" s="45" t="s">
        <v>43</v>
      </c>
      <c r="P15" s="45" t="s">
        <v>43</v>
      </c>
      <c r="Q15" s="45" t="s">
        <v>43</v>
      </c>
      <c r="R15" s="45" t="s">
        <v>43</v>
      </c>
      <c r="S15" s="45" t="s">
        <v>43</v>
      </c>
      <c r="T15" s="45" t="s">
        <v>43</v>
      </c>
      <c r="U15" s="45" t="s">
        <v>43</v>
      </c>
      <c r="V15" s="45" t="s">
        <v>43</v>
      </c>
      <c r="W15" s="45" t="s">
        <v>43</v>
      </c>
      <c r="X15" s="45" t="s">
        <v>43</v>
      </c>
      <c r="Y15" s="45" t="s">
        <v>43</v>
      </c>
      <c r="Z15" s="46" t="s">
        <v>43</v>
      </c>
      <c r="AA15" s="50">
        <f>VLOOKUP(K15,技能属性!$A:$AB,2,FALSE)</f>
        <v>0</v>
      </c>
      <c r="AB15" s="50" cm="1">
        <f t="array" ref="AB15">$C$8+SUM(_xlfn.XLOOKUP(L15:Z15,增益属性!$A:$A,增益属性!$N:$N,0))</f>
        <v>0.08</v>
      </c>
      <c r="AC15" s="36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5196.6288</v>
      </c>
      <c r="AD15" s="29" cm="1">
        <f t="array" ref="AD15">$C$10+VLOOKUP(K15,技能属性!$A:$Z,3,FALSE)+SUM(_xlfn.XLOOKUP(L15:Z15,增益属性!$A:$A,增益属性!$B:$B))</f>
        <v>0.16</v>
      </c>
      <c r="AE15" s="29" cm="1">
        <f t="array" ref="AE15">$C$11+VLOOKUP(K15,技能属性!$A:$AB,4,FALSE)+SUM(_xlfn.XLOOKUP(L15:Z15,增益属性!$A:$A,增益属性!$C:$C))</f>
        <v>1.5</v>
      </c>
      <c r="AF15" s="29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0.6445</v>
      </c>
      <c r="AG15" s="29" cm="1">
        <f t="array" ref="AG15">IF(VLOOKUP(K15,技能属性!$A:$Z,8,FALSE)=0,0,$C$12+SUM(_xlfn.XLOOKUP(L15:Z15,增益属性!$A:$A,增益属性!$F:$F)))</f>
        <v>0</v>
      </c>
      <c r="AH15" s="29" cm="1">
        <f t="array" ref="AH15">VLOOKUP(K15,技能属性!$A:$Z,9,FALSE)+SUM(_xlfn.XLOOKUP(L15:Z15,增益属性!$A:$A,增益属性!$G:$G))</f>
        <v>0</v>
      </c>
      <c r="AI15" s="29" cm="1">
        <f t="array" ref="AI15">VLOOKUP(K15,技能属性!$A:$Z,10,FALSE)+SUM(_xlfn.XLOOKUP(L15:Z15,增益属性!$A:$A,增益属性!$H:$H))</f>
        <v>0</v>
      </c>
      <c r="AJ15" s="29" cm="1">
        <f t="array" ref="AJ15">VLOOKUP(K15,技能属性!$A:$Z,11,FALSE)+SUM(_xlfn.XLOOKUP(L15:Z15,增益属性!$A:$A,增益属性!$I:$I))</f>
        <v>0</v>
      </c>
      <c r="AK15" s="29" cm="1">
        <f t="array" ref="AK15">VLOOKUP(K15,技能属性!$A:$Z,12,FALSE)+SUM(_xlfn.XLOOKUP(L15:Z15,增益属性!$A:$A,增益属性!$J:$J))</f>
        <v>0</v>
      </c>
      <c r="AL15" s="29" cm="1">
        <f t="array" ref="AL15">VLOOKUP(K15,技能属性!$A:$Z,13,FALSE)+SUM(_xlfn.XLOOKUP(L15:Z15,增益属性!$A:$A,增益属性!$K:$K))</f>
        <v>0</v>
      </c>
      <c r="AM15" s="29" cm="1">
        <f t="array" ref="AM15">VLOOKUP(K15,技能属性!$A:$Z,14,FALSE)+SUM(_xlfn.XLOOKUP(L15:Z15,增益属性!$A:$A,增益属性!$L:$L))</f>
        <v>0</v>
      </c>
      <c r="AN15" s="29" cm="1">
        <f t="array" ref="AN15">VLOOKUP(K15,技能属性!$A:$Z,15,FALSE)+SUM(_xlfn.XLOOKUP(L15:Z15,增益属性!$A:$A,增益属性!$M:$M))</f>
        <v>0</v>
      </c>
    </row>
    <row r="16" customHeight="1" spans="1:40">
      <c r="A16" s="66" t="s">
        <v>76</v>
      </c>
      <c r="B16" s="30" t="s">
        <v>77</v>
      </c>
      <c r="C16" s="29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</v>
      </c>
      <c r="G16" s="36">
        <f t="shared" si="0"/>
        <v>0</v>
      </c>
      <c r="H16" s="36">
        <f t="shared" si="1"/>
        <v>0</v>
      </c>
      <c r="I16" s="36">
        <f t="shared" si="2"/>
        <v>0</v>
      </c>
      <c r="J16" s="49">
        <v>1</v>
      </c>
      <c r="K16" s="45" t="s">
        <v>43</v>
      </c>
      <c r="L16" s="45" t="s">
        <v>43</v>
      </c>
      <c r="M16" s="45" t="s">
        <v>43</v>
      </c>
      <c r="N16" s="45" t="s">
        <v>43</v>
      </c>
      <c r="O16" s="45" t="s">
        <v>43</v>
      </c>
      <c r="P16" s="45" t="s">
        <v>43</v>
      </c>
      <c r="Q16" s="45" t="s">
        <v>43</v>
      </c>
      <c r="R16" s="45" t="s">
        <v>43</v>
      </c>
      <c r="S16" s="45" t="s">
        <v>43</v>
      </c>
      <c r="T16" s="45" t="s">
        <v>43</v>
      </c>
      <c r="U16" s="45" t="s">
        <v>43</v>
      </c>
      <c r="V16" s="45" t="s">
        <v>43</v>
      </c>
      <c r="W16" s="45" t="s">
        <v>43</v>
      </c>
      <c r="X16" s="45" t="s">
        <v>43</v>
      </c>
      <c r="Y16" s="45" t="s">
        <v>43</v>
      </c>
      <c r="Z16" s="46" t="s">
        <v>43</v>
      </c>
      <c r="AA16" s="50">
        <f>VLOOKUP(K16,技能属性!$A:$AB,2,FALSE)</f>
        <v>0</v>
      </c>
      <c r="AB16" s="50" cm="1">
        <f t="array" ref="AB16">$C$8+SUM(_xlfn.XLOOKUP(L16:Z16,增益属性!$A:$A,增益属性!$N:$N,0))</f>
        <v>0.08</v>
      </c>
      <c r="AC16" s="36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5196.6288</v>
      </c>
      <c r="AD16" s="29" cm="1">
        <f t="array" ref="AD16">$C$10+VLOOKUP(K16,技能属性!$A:$Z,3,FALSE)+SUM(_xlfn.XLOOKUP(L16:Z16,增益属性!$A:$A,增益属性!$B:$B))</f>
        <v>0.16</v>
      </c>
      <c r="AE16" s="29" cm="1">
        <f t="array" ref="AE16">$C$11+VLOOKUP(K16,技能属性!$A:$AB,4,FALSE)+SUM(_xlfn.XLOOKUP(L16:Z16,增益属性!$A:$A,增益属性!$C:$C))</f>
        <v>1.5</v>
      </c>
      <c r="AF16" s="29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0.6445</v>
      </c>
      <c r="AG16" s="29" cm="1">
        <f t="array" ref="AG16">IF(VLOOKUP(K16,技能属性!$A:$Z,8,FALSE)=0,0,$C$12+SUM(_xlfn.XLOOKUP(L16:Z16,增益属性!$A:$A,增益属性!$F:$F)))</f>
        <v>0</v>
      </c>
      <c r="AH16" s="29" cm="1">
        <f t="array" ref="AH16">VLOOKUP(K16,技能属性!$A:$Z,9,FALSE)+SUM(_xlfn.XLOOKUP(L16:Z16,增益属性!$A:$A,增益属性!$G:$G))</f>
        <v>0</v>
      </c>
      <c r="AI16" s="29" cm="1">
        <f t="array" ref="AI16">VLOOKUP(K16,技能属性!$A:$Z,10,FALSE)+SUM(_xlfn.XLOOKUP(L16:Z16,增益属性!$A:$A,增益属性!$H:$H))</f>
        <v>0</v>
      </c>
      <c r="AJ16" s="29" cm="1">
        <f t="array" ref="AJ16">VLOOKUP(K16,技能属性!$A:$Z,11,FALSE)+SUM(_xlfn.XLOOKUP(L16:Z16,增益属性!$A:$A,增益属性!$I:$I))</f>
        <v>0</v>
      </c>
      <c r="AK16" s="29" cm="1">
        <f t="array" ref="AK16">VLOOKUP(K16,技能属性!$A:$Z,12,FALSE)+SUM(_xlfn.XLOOKUP(L16:Z16,增益属性!$A:$A,增益属性!$J:$J))</f>
        <v>0</v>
      </c>
      <c r="AL16" s="29" cm="1">
        <f t="array" ref="AL16">VLOOKUP(K16,技能属性!$A:$Z,13,FALSE)+SUM(_xlfn.XLOOKUP(L16:Z16,增益属性!$A:$A,增益属性!$K:$K))</f>
        <v>0</v>
      </c>
      <c r="AM16" s="29" cm="1">
        <f t="array" ref="AM16">VLOOKUP(K16,技能属性!$A:$Z,14,FALSE)+SUM(_xlfn.XLOOKUP(L16:Z16,增益属性!$A:$A,增益属性!$L:$L))</f>
        <v>0</v>
      </c>
      <c r="AN16" s="29" cm="1">
        <f t="array" ref="AN16">VLOOKUP(K16,技能属性!$A:$Z,15,FALSE)+SUM(_xlfn.XLOOKUP(L16:Z16,增益属性!$A:$A,增益属性!$M:$M))</f>
        <v>0</v>
      </c>
    </row>
    <row r="17" customHeight="1" spans="2:40">
      <c r="B17" s="30" t="s">
        <v>78</v>
      </c>
      <c r="C17" s="29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</v>
      </c>
      <c r="G17" s="36">
        <f t="shared" si="0"/>
        <v>0</v>
      </c>
      <c r="H17" s="36">
        <f t="shared" si="1"/>
        <v>0</v>
      </c>
      <c r="I17" s="36">
        <f t="shared" si="2"/>
        <v>0</v>
      </c>
      <c r="J17" s="49">
        <v>1</v>
      </c>
      <c r="K17" s="45" t="s">
        <v>43</v>
      </c>
      <c r="L17" s="45" t="s">
        <v>43</v>
      </c>
      <c r="M17" s="45" t="s">
        <v>43</v>
      </c>
      <c r="N17" s="45" t="s">
        <v>43</v>
      </c>
      <c r="O17" s="45" t="s">
        <v>43</v>
      </c>
      <c r="P17" s="45" t="s">
        <v>43</v>
      </c>
      <c r="Q17" s="45" t="s">
        <v>43</v>
      </c>
      <c r="R17" s="45" t="s">
        <v>43</v>
      </c>
      <c r="S17" s="45" t="s">
        <v>43</v>
      </c>
      <c r="T17" s="45" t="s">
        <v>43</v>
      </c>
      <c r="U17" s="45" t="s">
        <v>43</v>
      </c>
      <c r="V17" s="45" t="s">
        <v>43</v>
      </c>
      <c r="W17" s="45" t="s">
        <v>43</v>
      </c>
      <c r="X17" s="45" t="s">
        <v>43</v>
      </c>
      <c r="Y17" s="45" t="s">
        <v>43</v>
      </c>
      <c r="Z17" s="46" t="s">
        <v>43</v>
      </c>
      <c r="AA17" s="50">
        <f>VLOOKUP(K17,技能属性!$A:$AB,2,FALSE)</f>
        <v>0</v>
      </c>
      <c r="AB17" s="50" cm="1">
        <f t="array" ref="AB17">$C$8+SUM(_xlfn.XLOOKUP(L17:Z17,增益属性!$A:$A,增益属性!$N:$N,0))</f>
        <v>0.08</v>
      </c>
      <c r="AC17" s="36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5196.6288</v>
      </c>
      <c r="AD17" s="29" cm="1">
        <f t="array" ref="AD17">$C$10+VLOOKUP(K17,技能属性!$A:$Z,3,FALSE)+SUM(_xlfn.XLOOKUP(L17:Z17,增益属性!$A:$A,增益属性!$B:$B))</f>
        <v>0.16</v>
      </c>
      <c r="AE17" s="29" cm="1">
        <f t="array" ref="AE17">$C$11+VLOOKUP(K17,技能属性!$A:$AB,4,FALSE)+SUM(_xlfn.XLOOKUP(L17:Z17,增益属性!$A:$A,增益属性!$C:$C))</f>
        <v>1.5</v>
      </c>
      <c r="AF17" s="29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0.6445</v>
      </c>
      <c r="AG17" s="29" cm="1">
        <f t="array" ref="AG17">IF(VLOOKUP(K17,技能属性!$A:$Z,8,FALSE)=0,0,$C$12+SUM(_xlfn.XLOOKUP(L17:Z17,增益属性!$A:$A,增益属性!$F:$F)))</f>
        <v>0</v>
      </c>
      <c r="AH17" s="29" cm="1">
        <f t="array" ref="AH17">VLOOKUP(K17,技能属性!$A:$Z,9,FALSE)+SUM(_xlfn.XLOOKUP(L17:Z17,增益属性!$A:$A,增益属性!$G:$G))</f>
        <v>0</v>
      </c>
      <c r="AI17" s="29" cm="1">
        <f t="array" ref="AI17">VLOOKUP(K17,技能属性!$A:$Z,10,FALSE)+SUM(_xlfn.XLOOKUP(L17:Z17,增益属性!$A:$A,增益属性!$H:$H))</f>
        <v>0</v>
      </c>
      <c r="AJ17" s="29" cm="1">
        <f t="array" ref="AJ17">VLOOKUP(K17,技能属性!$A:$Z,11,FALSE)+SUM(_xlfn.XLOOKUP(L17:Z17,增益属性!$A:$A,增益属性!$I:$I))</f>
        <v>0</v>
      </c>
      <c r="AK17" s="29" cm="1">
        <f t="array" ref="AK17">VLOOKUP(K17,技能属性!$A:$Z,12,FALSE)+SUM(_xlfn.XLOOKUP(L17:Z17,增益属性!$A:$A,增益属性!$J:$J))</f>
        <v>0</v>
      </c>
      <c r="AL17" s="29" cm="1">
        <f t="array" ref="AL17">VLOOKUP(K17,技能属性!$A:$Z,13,FALSE)+SUM(_xlfn.XLOOKUP(L17:Z17,增益属性!$A:$A,增益属性!$K:$K))</f>
        <v>0</v>
      </c>
      <c r="AM17" s="29" cm="1">
        <f t="array" ref="AM17">VLOOKUP(K17,技能属性!$A:$Z,14,FALSE)+SUM(_xlfn.XLOOKUP(L17:Z17,增益属性!$A:$A,增益属性!$L:$L))</f>
        <v>0</v>
      </c>
      <c r="AN17" s="29" cm="1">
        <f t="array" ref="AN17">VLOOKUP(K17,技能属性!$A:$Z,15,FALSE)+SUM(_xlfn.XLOOKUP(L17:Z17,增益属性!$A:$A,增益属性!$M:$M))</f>
        <v>0</v>
      </c>
    </row>
    <row r="18" customHeight="1" spans="2:40">
      <c r="B18" s="30" t="s">
        <v>79</v>
      </c>
      <c r="C18" s="29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</v>
      </c>
      <c r="G18" s="36">
        <f t="shared" si="0"/>
        <v>0</v>
      </c>
      <c r="H18" s="36">
        <f t="shared" si="1"/>
        <v>0</v>
      </c>
      <c r="I18" s="36">
        <f t="shared" si="2"/>
        <v>0</v>
      </c>
      <c r="J18" s="49">
        <v>1</v>
      </c>
      <c r="K18" s="45" t="s">
        <v>43</v>
      </c>
      <c r="L18" s="45" t="s">
        <v>43</v>
      </c>
      <c r="M18" s="45" t="s">
        <v>43</v>
      </c>
      <c r="N18" s="45" t="s">
        <v>43</v>
      </c>
      <c r="O18" s="45" t="s">
        <v>43</v>
      </c>
      <c r="P18" s="45" t="s">
        <v>43</v>
      </c>
      <c r="Q18" s="45" t="s">
        <v>43</v>
      </c>
      <c r="R18" s="45" t="s">
        <v>43</v>
      </c>
      <c r="S18" s="45" t="s">
        <v>43</v>
      </c>
      <c r="T18" s="45" t="s">
        <v>43</v>
      </c>
      <c r="U18" s="45" t="s">
        <v>43</v>
      </c>
      <c r="V18" s="45" t="s">
        <v>43</v>
      </c>
      <c r="W18" s="45" t="s">
        <v>43</v>
      </c>
      <c r="X18" s="45" t="s">
        <v>43</v>
      </c>
      <c r="Y18" s="45" t="s">
        <v>43</v>
      </c>
      <c r="Z18" s="46" t="s">
        <v>43</v>
      </c>
      <c r="AA18" s="50">
        <f>VLOOKUP(K18,技能属性!$A:$AB,2,FALSE)</f>
        <v>0</v>
      </c>
      <c r="AB18" s="50" cm="1">
        <f t="array" ref="AB18">$C$8+SUM(_xlfn.XLOOKUP(L18:Z18,增益属性!$A:$A,增益属性!$N:$N,0))</f>
        <v>0.08</v>
      </c>
      <c r="AC18" s="36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5196.6288</v>
      </c>
      <c r="AD18" s="29" cm="1">
        <f t="array" ref="AD18">$C$10+VLOOKUP(K18,技能属性!$A:$Z,3,FALSE)+SUM(_xlfn.XLOOKUP(L18:Z18,增益属性!$A:$A,增益属性!$B:$B))</f>
        <v>0.16</v>
      </c>
      <c r="AE18" s="29" cm="1">
        <f t="array" ref="AE18">$C$11+VLOOKUP(K18,技能属性!$A:$AB,4,FALSE)+SUM(_xlfn.XLOOKUP(L18:Z18,增益属性!$A:$A,增益属性!$C:$C))</f>
        <v>1.5</v>
      </c>
      <c r="AF18" s="29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0.6445</v>
      </c>
      <c r="AG18" s="29" cm="1">
        <f t="array" ref="AG18">IF(VLOOKUP(K18,技能属性!$A:$Z,8,FALSE)=0,0,$C$12+SUM(_xlfn.XLOOKUP(L18:Z18,增益属性!$A:$A,增益属性!$F:$F)))</f>
        <v>0</v>
      </c>
      <c r="AH18" s="29" cm="1">
        <f t="array" ref="AH18">VLOOKUP(K18,技能属性!$A:$Z,9,FALSE)+SUM(_xlfn.XLOOKUP(L18:Z18,增益属性!$A:$A,增益属性!$G:$G))</f>
        <v>0</v>
      </c>
      <c r="AI18" s="29" cm="1">
        <f t="array" ref="AI18">VLOOKUP(K18,技能属性!$A:$Z,10,FALSE)+SUM(_xlfn.XLOOKUP(L18:Z18,增益属性!$A:$A,增益属性!$H:$H))</f>
        <v>0</v>
      </c>
      <c r="AJ18" s="29" cm="1">
        <f t="array" ref="AJ18">VLOOKUP(K18,技能属性!$A:$Z,11,FALSE)+SUM(_xlfn.XLOOKUP(L18:Z18,增益属性!$A:$A,增益属性!$I:$I))</f>
        <v>0</v>
      </c>
      <c r="AK18" s="29" cm="1">
        <f t="array" ref="AK18">VLOOKUP(K18,技能属性!$A:$Z,12,FALSE)+SUM(_xlfn.XLOOKUP(L18:Z18,增益属性!$A:$A,增益属性!$J:$J))</f>
        <v>0</v>
      </c>
      <c r="AL18" s="29" cm="1">
        <f t="array" ref="AL18">VLOOKUP(K18,技能属性!$A:$Z,13,FALSE)+SUM(_xlfn.XLOOKUP(L18:Z18,增益属性!$A:$A,增益属性!$K:$K))</f>
        <v>0</v>
      </c>
      <c r="AM18" s="29" cm="1">
        <f t="array" ref="AM18">VLOOKUP(K18,技能属性!$A:$Z,14,FALSE)+SUM(_xlfn.XLOOKUP(L18:Z18,增益属性!$A:$A,增益属性!$L:$L))</f>
        <v>0</v>
      </c>
      <c r="AN18" s="29" cm="1">
        <f t="array" ref="AN18">VLOOKUP(K18,技能属性!$A:$Z,15,FALSE)+SUM(_xlfn.XLOOKUP(L18:Z18,增益属性!$A:$A,增益属性!$M:$M))</f>
        <v>0</v>
      </c>
    </row>
    <row r="19" customHeight="1" spans="2:40">
      <c r="B19" s="30" t="s">
        <v>80</v>
      </c>
      <c r="C19" s="29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6">
        <f t="shared" si="0"/>
        <v>0</v>
      </c>
      <c r="H19" s="36">
        <f t="shared" si="1"/>
        <v>0</v>
      </c>
      <c r="I19" s="36">
        <f t="shared" si="2"/>
        <v>0</v>
      </c>
      <c r="J19" s="49">
        <v>1</v>
      </c>
      <c r="K19" s="45" t="s">
        <v>43</v>
      </c>
      <c r="L19" s="45" t="s">
        <v>43</v>
      </c>
      <c r="M19" s="45" t="s">
        <v>43</v>
      </c>
      <c r="N19" s="45" t="s">
        <v>43</v>
      </c>
      <c r="O19" s="45" t="s">
        <v>43</v>
      </c>
      <c r="P19" s="45" t="s">
        <v>43</v>
      </c>
      <c r="Q19" s="45" t="s">
        <v>43</v>
      </c>
      <c r="R19" s="45" t="s">
        <v>43</v>
      </c>
      <c r="S19" s="45" t="s">
        <v>43</v>
      </c>
      <c r="T19" s="45" t="s">
        <v>43</v>
      </c>
      <c r="U19" s="45" t="s">
        <v>43</v>
      </c>
      <c r="V19" s="45" t="s">
        <v>43</v>
      </c>
      <c r="W19" s="45" t="s">
        <v>43</v>
      </c>
      <c r="X19" s="45" t="s">
        <v>43</v>
      </c>
      <c r="Y19" s="45" t="s">
        <v>43</v>
      </c>
      <c r="Z19" s="46" t="s">
        <v>43</v>
      </c>
      <c r="AA19" s="50">
        <f>VLOOKUP(K19,技能属性!$A:$AB,2,FALSE)</f>
        <v>0</v>
      </c>
      <c r="AB19" s="50" cm="1">
        <f t="array" ref="AB19">$C$8+SUM(_xlfn.XLOOKUP(L19:Z19,增益属性!$A:$A,增益属性!$N:$N,0))</f>
        <v>0.08</v>
      </c>
      <c r="AC19" s="36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5196.6288</v>
      </c>
      <c r="AD19" s="29" cm="1">
        <f t="array" ref="AD19">$C$10+VLOOKUP(K19,技能属性!$A:$Z,3,FALSE)+SUM(_xlfn.XLOOKUP(L19:Z19,增益属性!$A:$A,增益属性!$B:$B))</f>
        <v>0.16</v>
      </c>
      <c r="AE19" s="29" cm="1">
        <f t="array" ref="AE19">$C$11+VLOOKUP(K19,技能属性!$A:$AB,4,FALSE)+SUM(_xlfn.XLOOKUP(L19:Z19,增益属性!$A:$A,增益属性!$C:$C))</f>
        <v>1.5</v>
      </c>
      <c r="AF19" s="29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0.6445</v>
      </c>
      <c r="AG19" s="29" cm="1">
        <f t="array" ref="AG19">IF(VLOOKUP(K19,技能属性!$A:$Z,8,FALSE)=0,0,$C$12+SUM(_xlfn.XLOOKUP(L19:Z19,增益属性!$A:$A,增益属性!$F:$F)))</f>
        <v>0</v>
      </c>
      <c r="AH19" s="29" cm="1">
        <f t="array" ref="AH19">VLOOKUP(K19,技能属性!$A:$Z,9,FALSE)+SUM(_xlfn.XLOOKUP(L19:Z19,增益属性!$A:$A,增益属性!$G:$G))</f>
        <v>0</v>
      </c>
      <c r="AI19" s="29" cm="1">
        <f t="array" ref="AI19">VLOOKUP(K19,技能属性!$A:$Z,10,FALSE)+SUM(_xlfn.XLOOKUP(L19:Z19,增益属性!$A:$A,增益属性!$H:$H))</f>
        <v>0</v>
      </c>
      <c r="AJ19" s="29" cm="1">
        <f t="array" ref="AJ19">VLOOKUP(K19,技能属性!$A:$Z,11,FALSE)+SUM(_xlfn.XLOOKUP(L19:Z19,增益属性!$A:$A,增益属性!$I:$I))</f>
        <v>0</v>
      </c>
      <c r="AK19" s="29" cm="1">
        <f t="array" ref="AK19">VLOOKUP(K19,技能属性!$A:$Z,12,FALSE)+SUM(_xlfn.XLOOKUP(L19:Z19,增益属性!$A:$A,增益属性!$J:$J))</f>
        <v>0</v>
      </c>
      <c r="AL19" s="29" cm="1">
        <f t="array" ref="AL19">VLOOKUP(K19,技能属性!$A:$Z,13,FALSE)+SUM(_xlfn.XLOOKUP(L19:Z19,增益属性!$A:$A,增益属性!$K:$K))</f>
        <v>0</v>
      </c>
      <c r="AM19" s="29" cm="1">
        <f t="array" ref="AM19">VLOOKUP(K19,技能属性!$A:$Z,14,FALSE)+SUM(_xlfn.XLOOKUP(L19:Z19,增益属性!$A:$A,增益属性!$L:$L))</f>
        <v>0</v>
      </c>
      <c r="AN19" s="29" cm="1">
        <f t="array" ref="AN19">VLOOKUP(K19,技能属性!$A:$Z,15,FALSE)+SUM(_xlfn.XLOOKUP(L19:Z19,增益属性!$A:$A,增益属性!$M:$M))</f>
        <v>0</v>
      </c>
    </row>
    <row r="20" customHeight="1" spans="2:40">
      <c r="B20" s="30" t="s">
        <v>81</v>
      </c>
      <c r="C20" s="29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</v>
      </c>
      <c r="G20" s="36">
        <f t="shared" si="0"/>
        <v>0</v>
      </c>
      <c r="H20" s="36">
        <f t="shared" si="1"/>
        <v>0</v>
      </c>
      <c r="I20" s="36">
        <f t="shared" si="2"/>
        <v>0</v>
      </c>
      <c r="J20" s="49">
        <v>1</v>
      </c>
      <c r="K20" s="45" t="s">
        <v>43</v>
      </c>
      <c r="L20" s="45" t="s">
        <v>43</v>
      </c>
      <c r="M20" s="45" t="s">
        <v>43</v>
      </c>
      <c r="N20" s="45" t="s">
        <v>43</v>
      </c>
      <c r="O20" s="45" t="s">
        <v>43</v>
      </c>
      <c r="P20" s="45" t="s">
        <v>43</v>
      </c>
      <c r="Q20" s="45" t="s">
        <v>43</v>
      </c>
      <c r="R20" s="45" t="s">
        <v>43</v>
      </c>
      <c r="S20" s="45" t="s">
        <v>43</v>
      </c>
      <c r="T20" s="45" t="s">
        <v>43</v>
      </c>
      <c r="U20" s="45" t="s">
        <v>43</v>
      </c>
      <c r="V20" s="45" t="s">
        <v>43</v>
      </c>
      <c r="W20" s="45" t="s">
        <v>43</v>
      </c>
      <c r="X20" s="45" t="s">
        <v>43</v>
      </c>
      <c r="Y20" s="45" t="s">
        <v>43</v>
      </c>
      <c r="Z20" s="46" t="s">
        <v>43</v>
      </c>
      <c r="AA20" s="50">
        <f>VLOOKUP(K20,技能属性!$A:$AB,2,FALSE)</f>
        <v>0</v>
      </c>
      <c r="AB20" s="50" cm="1">
        <f t="array" ref="AB20">$C$8+SUM(_xlfn.XLOOKUP(L20:Z20,增益属性!$A:$A,增益属性!$N:$N,0))</f>
        <v>0.08</v>
      </c>
      <c r="AC20" s="36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5196.6288</v>
      </c>
      <c r="AD20" s="29" cm="1">
        <f t="array" ref="AD20">$C$10+VLOOKUP(K20,技能属性!$A:$Z,3,FALSE)+SUM(_xlfn.XLOOKUP(L20:Z20,增益属性!$A:$A,增益属性!$B:$B))</f>
        <v>0.16</v>
      </c>
      <c r="AE20" s="29" cm="1">
        <f t="array" ref="AE20">$C$11+VLOOKUP(K20,技能属性!$A:$AB,4,FALSE)+SUM(_xlfn.XLOOKUP(L20:Z20,增益属性!$A:$A,增益属性!$C:$C))</f>
        <v>1.5</v>
      </c>
      <c r="AF20" s="29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0.6445</v>
      </c>
      <c r="AG20" s="29" cm="1">
        <f t="array" ref="AG20">IF(VLOOKUP(K20,技能属性!$A:$Z,8,FALSE)=0,0,$C$12+SUM(_xlfn.XLOOKUP(L20:Z20,增益属性!$A:$A,增益属性!$F:$F)))</f>
        <v>0</v>
      </c>
      <c r="AH20" s="29" cm="1">
        <f t="array" ref="AH20">VLOOKUP(K20,技能属性!$A:$Z,9,FALSE)+SUM(_xlfn.XLOOKUP(L20:Z20,增益属性!$A:$A,增益属性!$G:$G))</f>
        <v>0</v>
      </c>
      <c r="AI20" s="29" cm="1">
        <f t="array" ref="AI20">VLOOKUP(K20,技能属性!$A:$Z,10,FALSE)+SUM(_xlfn.XLOOKUP(L20:Z20,增益属性!$A:$A,增益属性!$H:$H))</f>
        <v>0</v>
      </c>
      <c r="AJ20" s="29" cm="1">
        <f t="array" ref="AJ20">VLOOKUP(K20,技能属性!$A:$Z,11,FALSE)+SUM(_xlfn.XLOOKUP(L20:Z20,增益属性!$A:$A,增益属性!$I:$I))</f>
        <v>0</v>
      </c>
      <c r="AK20" s="29" cm="1">
        <f t="array" ref="AK20">VLOOKUP(K20,技能属性!$A:$Z,12,FALSE)+SUM(_xlfn.XLOOKUP(L20:Z20,增益属性!$A:$A,增益属性!$J:$J))</f>
        <v>0</v>
      </c>
      <c r="AL20" s="29" cm="1">
        <f t="array" ref="AL20">VLOOKUP(K20,技能属性!$A:$Z,13,FALSE)+SUM(_xlfn.XLOOKUP(L20:Z20,增益属性!$A:$A,增益属性!$K:$K))</f>
        <v>0</v>
      </c>
      <c r="AM20" s="29" cm="1">
        <f t="array" ref="AM20">VLOOKUP(K20,技能属性!$A:$Z,14,FALSE)+SUM(_xlfn.XLOOKUP(L20:Z20,增益属性!$A:$A,增益属性!$L:$L))</f>
        <v>0</v>
      </c>
      <c r="AN20" s="29" cm="1">
        <f t="array" ref="AN20">VLOOKUP(K20,技能属性!$A:$Z,15,FALSE)+SUM(_xlfn.XLOOKUP(L20:Z20,增益属性!$A:$A,增益属性!$M:$M))</f>
        <v>0</v>
      </c>
    </row>
    <row r="21" customHeight="1" spans="2:40">
      <c r="B21" s="30" t="s">
        <v>82</v>
      </c>
      <c r="C21" s="29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</v>
      </c>
      <c r="G21" s="36">
        <f t="shared" si="0"/>
        <v>0</v>
      </c>
      <c r="H21" s="36">
        <f t="shared" si="1"/>
        <v>0</v>
      </c>
      <c r="I21" s="36">
        <f t="shared" si="2"/>
        <v>0</v>
      </c>
      <c r="J21" s="49">
        <v>1</v>
      </c>
      <c r="K21" s="45" t="s">
        <v>43</v>
      </c>
      <c r="L21" s="45" t="s">
        <v>43</v>
      </c>
      <c r="M21" s="45" t="s">
        <v>43</v>
      </c>
      <c r="N21" s="45" t="s">
        <v>43</v>
      </c>
      <c r="O21" s="45" t="s">
        <v>43</v>
      </c>
      <c r="P21" s="45" t="s">
        <v>43</v>
      </c>
      <c r="Q21" s="45" t="s">
        <v>43</v>
      </c>
      <c r="R21" s="45" t="s">
        <v>43</v>
      </c>
      <c r="S21" s="45" t="s">
        <v>43</v>
      </c>
      <c r="T21" s="45" t="s">
        <v>43</v>
      </c>
      <c r="U21" s="45" t="s">
        <v>43</v>
      </c>
      <c r="V21" s="45" t="s">
        <v>43</v>
      </c>
      <c r="W21" s="45" t="s">
        <v>43</v>
      </c>
      <c r="X21" s="45" t="s">
        <v>43</v>
      </c>
      <c r="Y21" s="45" t="s">
        <v>43</v>
      </c>
      <c r="Z21" s="46" t="s">
        <v>43</v>
      </c>
      <c r="AA21" s="50">
        <f>VLOOKUP(K21,技能属性!$A:$AB,2,FALSE)</f>
        <v>0</v>
      </c>
      <c r="AB21" s="50" cm="1">
        <f t="array" ref="AB21">$C$8+SUM(_xlfn.XLOOKUP(L21:Z21,增益属性!$A:$A,增益属性!$N:$N,0))</f>
        <v>0.08</v>
      </c>
      <c r="AC21" s="36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5196.6288</v>
      </c>
      <c r="AD21" s="29" cm="1">
        <f t="array" ref="AD21">$C$10+VLOOKUP(K21,技能属性!$A:$Z,3,FALSE)+SUM(_xlfn.XLOOKUP(L21:Z21,增益属性!$A:$A,增益属性!$B:$B))</f>
        <v>0.16</v>
      </c>
      <c r="AE21" s="29" cm="1">
        <f t="array" ref="AE21">$C$11+VLOOKUP(K21,技能属性!$A:$AB,4,FALSE)+SUM(_xlfn.XLOOKUP(L21:Z21,增益属性!$A:$A,增益属性!$C:$C))</f>
        <v>1.5</v>
      </c>
      <c r="AF21" s="29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0.6445</v>
      </c>
      <c r="AG21" s="29" cm="1">
        <f t="array" ref="AG21">IF(VLOOKUP(K21,技能属性!$A:$Z,8,FALSE)=0,0,$C$12+SUM(_xlfn.XLOOKUP(L21:Z21,增益属性!$A:$A,增益属性!$F:$F)))</f>
        <v>0</v>
      </c>
      <c r="AH21" s="29" cm="1">
        <f t="array" ref="AH21">VLOOKUP(K21,技能属性!$A:$Z,9,FALSE)+SUM(_xlfn.XLOOKUP(L21:Z21,增益属性!$A:$A,增益属性!$G:$G))</f>
        <v>0</v>
      </c>
      <c r="AI21" s="29" cm="1">
        <f t="array" ref="AI21">VLOOKUP(K21,技能属性!$A:$Z,10,FALSE)+SUM(_xlfn.XLOOKUP(L21:Z21,增益属性!$A:$A,增益属性!$H:$H))</f>
        <v>0</v>
      </c>
      <c r="AJ21" s="29" cm="1">
        <f t="array" ref="AJ21">VLOOKUP(K21,技能属性!$A:$Z,11,FALSE)+SUM(_xlfn.XLOOKUP(L21:Z21,增益属性!$A:$A,增益属性!$I:$I))</f>
        <v>0</v>
      </c>
      <c r="AK21" s="29" cm="1">
        <f t="array" ref="AK21">VLOOKUP(K21,技能属性!$A:$Z,12,FALSE)+SUM(_xlfn.XLOOKUP(L21:Z21,增益属性!$A:$A,增益属性!$J:$J))</f>
        <v>0</v>
      </c>
      <c r="AL21" s="29" cm="1">
        <f t="array" ref="AL21">VLOOKUP(K21,技能属性!$A:$Z,13,FALSE)+SUM(_xlfn.XLOOKUP(L21:Z21,增益属性!$A:$A,增益属性!$K:$K))</f>
        <v>0</v>
      </c>
      <c r="AM21" s="29" cm="1">
        <f t="array" ref="AM21">VLOOKUP(K21,技能属性!$A:$Z,14,FALSE)+SUM(_xlfn.XLOOKUP(L21:Z21,增益属性!$A:$A,增益属性!$L:$L))</f>
        <v>0</v>
      </c>
      <c r="AN21" s="29" cm="1">
        <f t="array" ref="AN21">VLOOKUP(K21,技能属性!$A:$Z,15,FALSE)+SUM(_xlfn.XLOOKUP(L21:Z21,增益属性!$A:$A,增益属性!$M:$M))</f>
        <v>0</v>
      </c>
    </row>
    <row r="22" customHeight="1" spans="2:40">
      <c r="B22" s="30" t="s">
        <v>83</v>
      </c>
      <c r="C22" s="29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</v>
      </c>
      <c r="G22" s="36">
        <f t="shared" si="0"/>
        <v>0</v>
      </c>
      <c r="H22" s="36">
        <f t="shared" si="1"/>
        <v>0</v>
      </c>
      <c r="I22" s="36">
        <f t="shared" si="2"/>
        <v>0</v>
      </c>
      <c r="J22" s="49">
        <v>1</v>
      </c>
      <c r="K22" s="45" t="s">
        <v>43</v>
      </c>
      <c r="L22" s="45" t="s">
        <v>43</v>
      </c>
      <c r="M22" s="45" t="s">
        <v>43</v>
      </c>
      <c r="N22" s="45" t="s">
        <v>43</v>
      </c>
      <c r="O22" s="45" t="s">
        <v>43</v>
      </c>
      <c r="P22" s="45" t="s">
        <v>43</v>
      </c>
      <c r="Q22" s="45" t="s">
        <v>43</v>
      </c>
      <c r="R22" s="45" t="s">
        <v>43</v>
      </c>
      <c r="S22" s="45" t="s">
        <v>43</v>
      </c>
      <c r="T22" s="45" t="s">
        <v>43</v>
      </c>
      <c r="U22" s="45" t="s">
        <v>43</v>
      </c>
      <c r="V22" s="45" t="s">
        <v>43</v>
      </c>
      <c r="W22" s="45" t="s">
        <v>43</v>
      </c>
      <c r="X22" s="45" t="s">
        <v>43</v>
      </c>
      <c r="Y22" s="45" t="s">
        <v>43</v>
      </c>
      <c r="Z22" s="46" t="s">
        <v>43</v>
      </c>
      <c r="AA22" s="50">
        <f>VLOOKUP(K22,技能属性!$A:$AB,2,FALSE)</f>
        <v>0</v>
      </c>
      <c r="AB22" s="50" cm="1">
        <f t="array" ref="AB22">$C$8+SUM(_xlfn.XLOOKUP(L22:Z22,增益属性!$A:$A,增益属性!$N:$N,0))</f>
        <v>0.08</v>
      </c>
      <c r="AC22" s="36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5196.6288</v>
      </c>
      <c r="AD22" s="29" cm="1">
        <f t="array" ref="AD22">$C$10+VLOOKUP(K22,技能属性!$A:$Z,3,FALSE)+SUM(_xlfn.XLOOKUP(L22:Z22,增益属性!$A:$A,增益属性!$B:$B))</f>
        <v>0.16</v>
      </c>
      <c r="AE22" s="29" cm="1">
        <f t="array" ref="AE22">$C$11+VLOOKUP(K22,技能属性!$A:$AB,4,FALSE)+SUM(_xlfn.XLOOKUP(L22:Z22,增益属性!$A:$A,增益属性!$C:$C))</f>
        <v>1.5</v>
      </c>
      <c r="AF22" s="29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0.6445</v>
      </c>
      <c r="AG22" s="29" cm="1">
        <f t="array" ref="AG22">IF(VLOOKUP(K22,技能属性!$A:$Z,8,FALSE)=0,0,$C$12+SUM(_xlfn.XLOOKUP(L22:Z22,增益属性!$A:$A,增益属性!$F:$F)))</f>
        <v>0</v>
      </c>
      <c r="AH22" s="29" cm="1">
        <f t="array" ref="AH22">VLOOKUP(K22,技能属性!$A:$Z,9,FALSE)+SUM(_xlfn.XLOOKUP(L22:Z22,增益属性!$A:$A,增益属性!$G:$G))</f>
        <v>0</v>
      </c>
      <c r="AI22" s="29" cm="1">
        <f t="array" ref="AI22">VLOOKUP(K22,技能属性!$A:$Z,10,FALSE)+SUM(_xlfn.XLOOKUP(L22:Z22,增益属性!$A:$A,增益属性!$H:$H))</f>
        <v>0</v>
      </c>
      <c r="AJ22" s="29" cm="1">
        <f t="array" ref="AJ22">VLOOKUP(K22,技能属性!$A:$Z,11,FALSE)+SUM(_xlfn.XLOOKUP(L22:Z22,增益属性!$A:$A,增益属性!$I:$I))</f>
        <v>0</v>
      </c>
      <c r="AK22" s="29" cm="1">
        <f t="array" ref="AK22">VLOOKUP(K22,技能属性!$A:$Z,12,FALSE)+SUM(_xlfn.XLOOKUP(L22:Z22,增益属性!$A:$A,增益属性!$J:$J))</f>
        <v>0</v>
      </c>
      <c r="AL22" s="29" cm="1">
        <f t="array" ref="AL22">VLOOKUP(K22,技能属性!$A:$Z,13,FALSE)+SUM(_xlfn.XLOOKUP(L22:Z22,增益属性!$A:$A,增益属性!$K:$K))</f>
        <v>0</v>
      </c>
      <c r="AM22" s="29" cm="1">
        <f t="array" ref="AM22">VLOOKUP(K22,技能属性!$A:$Z,14,FALSE)+SUM(_xlfn.XLOOKUP(L22:Z22,增益属性!$A:$A,增益属性!$L:$L))</f>
        <v>0</v>
      </c>
      <c r="AN22" s="29" cm="1">
        <f t="array" ref="AN22">VLOOKUP(K22,技能属性!$A:$Z,15,FALSE)+SUM(_xlfn.XLOOKUP(L22:Z22,增益属性!$A:$A,增益属性!$M:$M))</f>
        <v>0</v>
      </c>
    </row>
    <row r="23" customHeight="1" spans="2:40">
      <c r="B23" s="30" t="s">
        <v>84</v>
      </c>
      <c r="C23" s="29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</v>
      </c>
      <c r="G23" s="36">
        <f t="shared" si="0"/>
        <v>0</v>
      </c>
      <c r="H23" s="36">
        <f t="shared" si="1"/>
        <v>0</v>
      </c>
      <c r="I23" s="36">
        <f t="shared" si="2"/>
        <v>0</v>
      </c>
      <c r="J23" s="49">
        <v>1</v>
      </c>
      <c r="K23" s="45" t="s">
        <v>43</v>
      </c>
      <c r="L23" s="45" t="s">
        <v>43</v>
      </c>
      <c r="M23" s="45" t="s">
        <v>43</v>
      </c>
      <c r="N23" s="45" t="s">
        <v>43</v>
      </c>
      <c r="O23" s="45" t="s">
        <v>43</v>
      </c>
      <c r="P23" s="45" t="s">
        <v>43</v>
      </c>
      <c r="Q23" s="45" t="s">
        <v>43</v>
      </c>
      <c r="R23" s="45" t="s">
        <v>43</v>
      </c>
      <c r="S23" s="45" t="s">
        <v>43</v>
      </c>
      <c r="T23" s="45" t="s">
        <v>43</v>
      </c>
      <c r="U23" s="45" t="s">
        <v>43</v>
      </c>
      <c r="V23" s="45" t="s">
        <v>43</v>
      </c>
      <c r="W23" s="45" t="s">
        <v>43</v>
      </c>
      <c r="X23" s="45" t="s">
        <v>43</v>
      </c>
      <c r="Y23" s="45" t="s">
        <v>43</v>
      </c>
      <c r="Z23" s="46" t="s">
        <v>43</v>
      </c>
      <c r="AA23" s="50">
        <f>VLOOKUP(K23,技能属性!$A:$AB,2,FALSE)</f>
        <v>0</v>
      </c>
      <c r="AB23" s="50" cm="1">
        <f t="array" ref="AB23">$C$8+SUM(_xlfn.XLOOKUP(L23:Z23,增益属性!$A:$A,增益属性!$N:$N,0))</f>
        <v>0.08</v>
      </c>
      <c r="AC23" s="36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5196.6288</v>
      </c>
      <c r="AD23" s="29" cm="1">
        <f t="array" ref="AD23">$C$10+VLOOKUP(K23,技能属性!$A:$Z,3,FALSE)+SUM(_xlfn.XLOOKUP(L23:Z23,增益属性!$A:$A,增益属性!$B:$B))</f>
        <v>0.16</v>
      </c>
      <c r="AE23" s="29" cm="1">
        <f t="array" ref="AE23">$C$11+VLOOKUP(K23,技能属性!$A:$AB,4,FALSE)+SUM(_xlfn.XLOOKUP(L23:Z23,增益属性!$A:$A,增益属性!$C:$C))</f>
        <v>1.5</v>
      </c>
      <c r="AF23" s="29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0.6445</v>
      </c>
      <c r="AG23" s="29" cm="1">
        <f t="array" ref="AG23">IF(VLOOKUP(K23,技能属性!$A:$Z,8,FALSE)=0,0,$C$12+SUM(_xlfn.XLOOKUP(L23:Z23,增益属性!$A:$A,增益属性!$F:$F)))</f>
        <v>0</v>
      </c>
      <c r="AH23" s="29" cm="1">
        <f t="array" ref="AH23">VLOOKUP(K23,技能属性!$A:$Z,9,FALSE)+SUM(_xlfn.XLOOKUP(L23:Z23,增益属性!$A:$A,增益属性!$G:$G))</f>
        <v>0</v>
      </c>
      <c r="AI23" s="29" cm="1">
        <f t="array" ref="AI23">VLOOKUP(K23,技能属性!$A:$Z,10,FALSE)+SUM(_xlfn.XLOOKUP(L23:Z23,增益属性!$A:$A,增益属性!$H:$H))</f>
        <v>0</v>
      </c>
      <c r="AJ23" s="29" cm="1">
        <f t="array" ref="AJ23">VLOOKUP(K23,技能属性!$A:$Z,11,FALSE)+SUM(_xlfn.XLOOKUP(L23:Z23,增益属性!$A:$A,增益属性!$I:$I))</f>
        <v>0</v>
      </c>
      <c r="AK23" s="29" cm="1">
        <f t="array" ref="AK23">VLOOKUP(K23,技能属性!$A:$Z,12,FALSE)+SUM(_xlfn.XLOOKUP(L23:Z23,增益属性!$A:$A,增益属性!$J:$J))</f>
        <v>0</v>
      </c>
      <c r="AL23" s="29" cm="1">
        <f t="array" ref="AL23">VLOOKUP(K23,技能属性!$A:$Z,13,FALSE)+SUM(_xlfn.XLOOKUP(L23:Z23,增益属性!$A:$A,增益属性!$K:$K))</f>
        <v>0</v>
      </c>
      <c r="AM23" s="29" cm="1">
        <f t="array" ref="AM23">VLOOKUP(K23,技能属性!$A:$Z,14,FALSE)+SUM(_xlfn.XLOOKUP(L23:Z23,增益属性!$A:$A,增益属性!$L:$L))</f>
        <v>0</v>
      </c>
      <c r="AN23" s="29" cm="1">
        <f t="array" ref="AN23">VLOOKUP(K23,技能属性!$A:$Z,15,FALSE)+SUM(_xlfn.XLOOKUP(L23:Z23,增益属性!$A:$A,增益属性!$M:$M))</f>
        <v>0</v>
      </c>
    </row>
    <row r="24" customHeight="1" spans="2:40">
      <c r="B24" s="30" t="s">
        <v>85</v>
      </c>
      <c r="C24" s="29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</v>
      </c>
      <c r="G24" s="36">
        <f t="shared" si="0"/>
        <v>0</v>
      </c>
      <c r="H24" s="36">
        <f t="shared" si="1"/>
        <v>0</v>
      </c>
      <c r="I24" s="36">
        <f t="shared" si="2"/>
        <v>0</v>
      </c>
      <c r="J24" s="49">
        <v>1</v>
      </c>
      <c r="K24" s="45" t="s">
        <v>43</v>
      </c>
      <c r="L24" s="45" t="s">
        <v>43</v>
      </c>
      <c r="M24" s="45" t="s">
        <v>43</v>
      </c>
      <c r="N24" s="45" t="s">
        <v>43</v>
      </c>
      <c r="O24" s="45" t="s">
        <v>43</v>
      </c>
      <c r="P24" s="45" t="s">
        <v>43</v>
      </c>
      <c r="Q24" s="45" t="s">
        <v>43</v>
      </c>
      <c r="R24" s="45" t="s">
        <v>43</v>
      </c>
      <c r="S24" s="45" t="s">
        <v>43</v>
      </c>
      <c r="T24" s="45" t="s">
        <v>43</v>
      </c>
      <c r="U24" s="45" t="s">
        <v>43</v>
      </c>
      <c r="V24" s="45" t="s">
        <v>43</v>
      </c>
      <c r="W24" s="45" t="s">
        <v>43</v>
      </c>
      <c r="X24" s="45" t="s">
        <v>43</v>
      </c>
      <c r="Y24" s="45" t="s">
        <v>43</v>
      </c>
      <c r="Z24" s="46" t="s">
        <v>43</v>
      </c>
      <c r="AA24" s="50">
        <f>VLOOKUP(K24,技能属性!$A:$AB,2,FALSE)</f>
        <v>0</v>
      </c>
      <c r="AB24" s="50" cm="1">
        <f t="array" ref="AB24">$C$8+SUM(_xlfn.XLOOKUP(L24:Z24,增益属性!$A:$A,增益属性!$N:$N,0))</f>
        <v>0.08</v>
      </c>
      <c r="AC24" s="36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5196.6288</v>
      </c>
      <c r="AD24" s="29" cm="1">
        <f t="array" ref="AD24">$C$10+VLOOKUP(K24,技能属性!$A:$Z,3,FALSE)+SUM(_xlfn.XLOOKUP(L24:Z24,增益属性!$A:$A,增益属性!$B:$B))</f>
        <v>0.16</v>
      </c>
      <c r="AE24" s="29" cm="1">
        <f t="array" ref="AE24">$C$11+VLOOKUP(K24,技能属性!$A:$AB,4,FALSE)+SUM(_xlfn.XLOOKUP(L24:Z24,增益属性!$A:$A,增益属性!$C:$C))</f>
        <v>1.5</v>
      </c>
      <c r="AF24" s="29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0.6445</v>
      </c>
      <c r="AG24" s="29" cm="1">
        <f t="array" ref="AG24">IF(VLOOKUP(K24,技能属性!$A:$Z,8,FALSE)=0,0,$C$12+SUM(_xlfn.XLOOKUP(L24:Z24,增益属性!$A:$A,增益属性!$F:$F)))</f>
        <v>0</v>
      </c>
      <c r="AH24" s="29" cm="1">
        <f t="array" ref="AH24">VLOOKUP(K24,技能属性!$A:$Z,9,FALSE)+SUM(_xlfn.XLOOKUP(L24:Z24,增益属性!$A:$A,增益属性!$G:$G))</f>
        <v>0</v>
      </c>
      <c r="AI24" s="29" cm="1">
        <f t="array" ref="AI24">VLOOKUP(K24,技能属性!$A:$Z,10,FALSE)+SUM(_xlfn.XLOOKUP(L24:Z24,增益属性!$A:$A,增益属性!$H:$H))</f>
        <v>0</v>
      </c>
      <c r="AJ24" s="29" cm="1">
        <f t="array" ref="AJ24">VLOOKUP(K24,技能属性!$A:$Z,11,FALSE)+SUM(_xlfn.XLOOKUP(L24:Z24,增益属性!$A:$A,增益属性!$I:$I))</f>
        <v>0</v>
      </c>
      <c r="AK24" s="29" cm="1">
        <f t="array" ref="AK24">VLOOKUP(K24,技能属性!$A:$Z,12,FALSE)+SUM(_xlfn.XLOOKUP(L24:Z24,增益属性!$A:$A,增益属性!$J:$J))</f>
        <v>0</v>
      </c>
      <c r="AL24" s="29" cm="1">
        <f t="array" ref="AL24">VLOOKUP(K24,技能属性!$A:$Z,13,FALSE)+SUM(_xlfn.XLOOKUP(L24:Z24,增益属性!$A:$A,增益属性!$K:$K))</f>
        <v>0</v>
      </c>
      <c r="AM24" s="29" cm="1">
        <f t="array" ref="AM24">VLOOKUP(K24,技能属性!$A:$Z,14,FALSE)+SUM(_xlfn.XLOOKUP(L24:Z24,增益属性!$A:$A,增益属性!$L:$L))</f>
        <v>0</v>
      </c>
      <c r="AN24" s="29" cm="1">
        <f t="array" ref="AN24">VLOOKUP(K24,技能属性!$A:$Z,15,FALSE)+SUM(_xlfn.XLOOKUP(L24:Z24,增益属性!$A:$A,增益属性!$M:$M))</f>
        <v>0</v>
      </c>
    </row>
    <row r="25" customHeight="1" spans="2:40">
      <c r="B25" s="30" t="s">
        <v>86</v>
      </c>
      <c r="C25" s="29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6">
        <f t="shared" si="0"/>
        <v>0</v>
      </c>
      <c r="H25" s="36">
        <f t="shared" si="1"/>
        <v>0</v>
      </c>
      <c r="I25" s="36">
        <f t="shared" si="2"/>
        <v>0</v>
      </c>
      <c r="J25" s="49">
        <v>1</v>
      </c>
      <c r="K25" s="45" t="s">
        <v>43</v>
      </c>
      <c r="L25" s="45" t="s">
        <v>43</v>
      </c>
      <c r="M25" s="45" t="s">
        <v>43</v>
      </c>
      <c r="N25" s="45" t="s">
        <v>43</v>
      </c>
      <c r="O25" s="45" t="s">
        <v>43</v>
      </c>
      <c r="P25" s="45" t="s">
        <v>43</v>
      </c>
      <c r="Q25" s="45" t="s">
        <v>43</v>
      </c>
      <c r="R25" s="45" t="s">
        <v>43</v>
      </c>
      <c r="S25" s="45" t="s">
        <v>43</v>
      </c>
      <c r="T25" s="45" t="s">
        <v>43</v>
      </c>
      <c r="U25" s="45" t="s">
        <v>43</v>
      </c>
      <c r="V25" s="45" t="s">
        <v>43</v>
      </c>
      <c r="W25" s="45" t="s">
        <v>43</v>
      </c>
      <c r="X25" s="45" t="s">
        <v>43</v>
      </c>
      <c r="Y25" s="45" t="s">
        <v>43</v>
      </c>
      <c r="Z25" s="46" t="s">
        <v>43</v>
      </c>
      <c r="AA25" s="50">
        <f>VLOOKUP(K25,技能属性!$A:$AB,2,FALSE)</f>
        <v>0</v>
      </c>
      <c r="AB25" s="50" cm="1">
        <f t="array" ref="AB25">$C$8+SUM(_xlfn.XLOOKUP(L25:Z25,增益属性!$A:$A,增益属性!$N:$N,0))</f>
        <v>0.08</v>
      </c>
      <c r="AC25" s="36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5196.6288</v>
      </c>
      <c r="AD25" s="29" cm="1">
        <f t="array" ref="AD25">$C$10+VLOOKUP(K25,技能属性!$A:$Z,3,FALSE)+SUM(_xlfn.XLOOKUP(L25:Z25,增益属性!$A:$A,增益属性!$B:$B))</f>
        <v>0.16</v>
      </c>
      <c r="AE25" s="29" cm="1">
        <f t="array" ref="AE25">$C$11+VLOOKUP(K25,技能属性!$A:$AB,4,FALSE)+SUM(_xlfn.XLOOKUP(L25:Z25,增益属性!$A:$A,增益属性!$C:$C))</f>
        <v>1.5</v>
      </c>
      <c r="AF25" s="29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0.6445</v>
      </c>
      <c r="AG25" s="29" cm="1">
        <f t="array" ref="AG25">IF(VLOOKUP(K25,技能属性!$A:$Z,8,FALSE)=0,0,$C$12+SUM(_xlfn.XLOOKUP(L25:Z25,增益属性!$A:$A,增益属性!$F:$F)))</f>
        <v>0</v>
      </c>
      <c r="AH25" s="29" cm="1">
        <f t="array" ref="AH25">VLOOKUP(K25,技能属性!$A:$Z,9,FALSE)+SUM(_xlfn.XLOOKUP(L25:Z25,增益属性!$A:$A,增益属性!$G:$G))</f>
        <v>0</v>
      </c>
      <c r="AI25" s="29" cm="1">
        <f t="array" ref="AI25">VLOOKUP(K25,技能属性!$A:$Z,10,FALSE)+SUM(_xlfn.XLOOKUP(L25:Z25,增益属性!$A:$A,增益属性!$H:$H))</f>
        <v>0</v>
      </c>
      <c r="AJ25" s="29" cm="1">
        <f t="array" ref="AJ25">VLOOKUP(K25,技能属性!$A:$Z,11,FALSE)+SUM(_xlfn.XLOOKUP(L25:Z25,增益属性!$A:$A,增益属性!$I:$I))</f>
        <v>0</v>
      </c>
      <c r="AK25" s="29" cm="1">
        <f t="array" ref="AK25">VLOOKUP(K25,技能属性!$A:$Z,12,FALSE)+SUM(_xlfn.XLOOKUP(L25:Z25,增益属性!$A:$A,增益属性!$J:$J))</f>
        <v>0</v>
      </c>
      <c r="AL25" s="29" cm="1">
        <f t="array" ref="AL25">VLOOKUP(K25,技能属性!$A:$Z,13,FALSE)+SUM(_xlfn.XLOOKUP(L25:Z25,增益属性!$A:$A,增益属性!$K:$K))</f>
        <v>0</v>
      </c>
      <c r="AM25" s="29" cm="1">
        <f t="array" ref="AM25">VLOOKUP(K25,技能属性!$A:$Z,14,FALSE)+SUM(_xlfn.XLOOKUP(L25:Z25,增益属性!$A:$A,增益属性!$L:$L))</f>
        <v>0</v>
      </c>
      <c r="AN25" s="29" cm="1">
        <f t="array" ref="AN25">VLOOKUP(K25,技能属性!$A:$Z,15,FALSE)+SUM(_xlfn.XLOOKUP(L25:Z25,增益属性!$A:$A,增益属性!$M:$M))</f>
        <v>0</v>
      </c>
    </row>
    <row r="26" customHeight="1" spans="2:40">
      <c r="G26" s="36">
        <f t="shared" si="0"/>
        <v>0</v>
      </c>
      <c r="H26" s="36">
        <f t="shared" si="1"/>
        <v>0</v>
      </c>
      <c r="I26" s="36">
        <f t="shared" si="2"/>
        <v>0</v>
      </c>
      <c r="J26" s="49">
        <v>1</v>
      </c>
      <c r="K26" s="45" t="s">
        <v>43</v>
      </c>
      <c r="L26" s="45" t="s">
        <v>43</v>
      </c>
      <c r="M26" s="45" t="s">
        <v>43</v>
      </c>
      <c r="N26" s="45" t="s">
        <v>43</v>
      </c>
      <c r="O26" s="45" t="s">
        <v>43</v>
      </c>
      <c r="P26" s="45" t="s">
        <v>43</v>
      </c>
      <c r="Q26" s="45" t="s">
        <v>43</v>
      </c>
      <c r="R26" s="45" t="s">
        <v>43</v>
      </c>
      <c r="S26" s="45" t="s">
        <v>43</v>
      </c>
      <c r="T26" s="45" t="s">
        <v>43</v>
      </c>
      <c r="U26" s="45" t="s">
        <v>43</v>
      </c>
      <c r="V26" s="45" t="s">
        <v>43</v>
      </c>
      <c r="W26" s="45" t="s">
        <v>43</v>
      </c>
      <c r="X26" s="45" t="s">
        <v>43</v>
      </c>
      <c r="Y26" s="45" t="s">
        <v>43</v>
      </c>
      <c r="Z26" s="46" t="s">
        <v>43</v>
      </c>
      <c r="AA26" s="50">
        <f>VLOOKUP(K26,技能属性!$A:$AB,2,FALSE)</f>
        <v>0</v>
      </c>
      <c r="AB26" s="50" cm="1">
        <f t="array" ref="AB26">$C$8+SUM(_xlfn.XLOOKUP(L26:Z26,增益属性!$A:$A,增益属性!$N:$N,0))</f>
        <v>0.08</v>
      </c>
      <c r="AC26" s="36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5196.6288</v>
      </c>
      <c r="AD26" s="29" cm="1">
        <f t="array" ref="AD26">$C$10+VLOOKUP(K26,技能属性!$A:$Z,3,FALSE)+SUM(_xlfn.XLOOKUP(L26:Z26,增益属性!$A:$A,增益属性!$B:$B))</f>
        <v>0.16</v>
      </c>
      <c r="AE26" s="29" cm="1">
        <f t="array" ref="AE26">$C$11+VLOOKUP(K26,技能属性!$A:$AB,4,FALSE)+SUM(_xlfn.XLOOKUP(L26:Z26,增益属性!$A:$A,增益属性!$C:$C))</f>
        <v>1.5</v>
      </c>
      <c r="AF26" s="29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0.6445</v>
      </c>
      <c r="AG26" s="29" cm="1">
        <f t="array" ref="AG26">IF(VLOOKUP(K26,技能属性!$A:$Z,8,FALSE)=0,0,$C$12+SUM(_xlfn.XLOOKUP(L26:Z26,增益属性!$A:$A,增益属性!$F:$F)))</f>
        <v>0</v>
      </c>
      <c r="AH26" s="29" cm="1">
        <f t="array" ref="AH26">VLOOKUP(K26,技能属性!$A:$Z,9,FALSE)+SUM(_xlfn.XLOOKUP(L26:Z26,增益属性!$A:$A,增益属性!$G:$G))</f>
        <v>0</v>
      </c>
      <c r="AI26" s="29" cm="1">
        <f t="array" ref="AI26">VLOOKUP(K26,技能属性!$A:$Z,10,FALSE)+SUM(_xlfn.XLOOKUP(L26:Z26,增益属性!$A:$A,增益属性!$H:$H))</f>
        <v>0</v>
      </c>
      <c r="AJ26" s="29" cm="1">
        <f t="array" ref="AJ26">VLOOKUP(K26,技能属性!$A:$Z,11,FALSE)+SUM(_xlfn.XLOOKUP(L26:Z26,增益属性!$A:$A,增益属性!$I:$I))</f>
        <v>0</v>
      </c>
      <c r="AK26" s="29" cm="1">
        <f t="array" ref="AK26">VLOOKUP(K26,技能属性!$A:$Z,12,FALSE)+SUM(_xlfn.XLOOKUP(L26:Z26,增益属性!$A:$A,增益属性!$J:$J))</f>
        <v>0</v>
      </c>
      <c r="AL26" s="29" cm="1">
        <f t="array" ref="AL26">VLOOKUP(K26,技能属性!$A:$Z,13,FALSE)+SUM(_xlfn.XLOOKUP(L26:Z26,增益属性!$A:$A,增益属性!$K:$K))</f>
        <v>0</v>
      </c>
      <c r="AM26" s="29" cm="1">
        <f t="array" ref="AM26">VLOOKUP(K26,技能属性!$A:$Z,14,FALSE)+SUM(_xlfn.XLOOKUP(L26:Z26,增益属性!$A:$A,增益属性!$L:$L))</f>
        <v>0</v>
      </c>
      <c r="AN26" s="29" cm="1">
        <f t="array" ref="AN26">VLOOKUP(K26,技能属性!$A:$Z,15,FALSE)+SUM(_xlfn.XLOOKUP(L26:Z26,增益属性!$A:$A,增益属性!$M:$M))</f>
        <v>0</v>
      </c>
    </row>
    <row r="27" customHeight="1" spans="2:40">
      <c r="B27" t="s">
        <v>87</v>
      </c>
      <c r="C27" s="30">
        <f>VLOOKUP($A$16,食物属性!$A:$Z,2,FALSE)</f>
        <v>180</v>
      </c>
      <c r="G27" s="36">
        <f t="shared" si="0"/>
        <v>0</v>
      </c>
      <c r="H27" s="36">
        <f t="shared" si="1"/>
        <v>0</v>
      </c>
      <c r="I27" s="36">
        <f t="shared" si="2"/>
        <v>0</v>
      </c>
      <c r="J27" s="49">
        <v>1</v>
      </c>
      <c r="K27" s="45" t="s">
        <v>43</v>
      </c>
      <c r="L27" s="45" t="s">
        <v>43</v>
      </c>
      <c r="M27" s="45" t="s">
        <v>43</v>
      </c>
      <c r="N27" s="45" t="s">
        <v>43</v>
      </c>
      <c r="O27" s="45" t="s">
        <v>43</v>
      </c>
      <c r="P27" s="45" t="s">
        <v>43</v>
      </c>
      <c r="Q27" s="45" t="s">
        <v>43</v>
      </c>
      <c r="R27" s="45" t="s">
        <v>43</v>
      </c>
      <c r="S27" s="45" t="s">
        <v>43</v>
      </c>
      <c r="T27" s="45" t="s">
        <v>43</v>
      </c>
      <c r="U27" s="45" t="s">
        <v>43</v>
      </c>
      <c r="V27" s="45" t="s">
        <v>43</v>
      </c>
      <c r="W27" s="45" t="s">
        <v>43</v>
      </c>
      <c r="X27" s="45" t="s">
        <v>43</v>
      </c>
      <c r="Y27" s="45" t="s">
        <v>43</v>
      </c>
      <c r="Z27" s="46" t="s">
        <v>43</v>
      </c>
      <c r="AA27" s="50">
        <f>VLOOKUP(K27,技能属性!$A:$AB,2,FALSE)</f>
        <v>0</v>
      </c>
      <c r="AB27" s="50" cm="1">
        <f t="array" ref="AB27">$C$8+SUM(_xlfn.XLOOKUP(L27:Z27,增益属性!$A:$A,增益属性!$N:$N,0))</f>
        <v>0.08</v>
      </c>
      <c r="AC27" s="36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5196.6288</v>
      </c>
      <c r="AD27" s="29" cm="1">
        <f t="array" ref="AD27">$C$10+VLOOKUP(K27,技能属性!$A:$Z,3,FALSE)+SUM(_xlfn.XLOOKUP(L27:Z27,增益属性!$A:$A,增益属性!$B:$B))</f>
        <v>0.16</v>
      </c>
      <c r="AE27" s="29" cm="1">
        <f t="array" ref="AE27">$C$11+VLOOKUP(K27,技能属性!$A:$AB,4,FALSE)+SUM(_xlfn.XLOOKUP(L27:Z27,增益属性!$A:$A,增益属性!$C:$C))</f>
        <v>1.5</v>
      </c>
      <c r="AF27" s="29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0.6445</v>
      </c>
      <c r="AG27" s="29" cm="1">
        <f t="array" ref="AG27">IF(VLOOKUP(K27,技能属性!$A:$Z,8,FALSE)=0,0,$C$12+SUM(_xlfn.XLOOKUP(L27:Z27,增益属性!$A:$A,增益属性!$F:$F)))</f>
        <v>0</v>
      </c>
      <c r="AH27" s="29" cm="1">
        <f t="array" ref="AH27">VLOOKUP(K27,技能属性!$A:$Z,9,FALSE)+SUM(_xlfn.XLOOKUP(L27:Z27,增益属性!$A:$A,增益属性!$G:$G))</f>
        <v>0</v>
      </c>
      <c r="AI27" s="29" cm="1">
        <f t="array" ref="AI27">VLOOKUP(K27,技能属性!$A:$Z,10,FALSE)+SUM(_xlfn.XLOOKUP(L27:Z27,增益属性!$A:$A,增益属性!$H:$H))</f>
        <v>0</v>
      </c>
      <c r="AJ27" s="29" cm="1">
        <f t="array" ref="AJ27">VLOOKUP(K27,技能属性!$A:$Z,11,FALSE)+SUM(_xlfn.XLOOKUP(L27:Z27,增益属性!$A:$A,增益属性!$I:$I))</f>
        <v>0</v>
      </c>
      <c r="AK27" s="29" cm="1">
        <f t="array" ref="AK27">VLOOKUP(K27,技能属性!$A:$Z,12,FALSE)+SUM(_xlfn.XLOOKUP(L27:Z27,增益属性!$A:$A,增益属性!$J:$J))</f>
        <v>0</v>
      </c>
      <c r="AL27" s="29" cm="1">
        <f t="array" ref="AL27">VLOOKUP(K27,技能属性!$A:$Z,13,FALSE)+SUM(_xlfn.XLOOKUP(L27:Z27,增益属性!$A:$A,增益属性!$K:$K))</f>
        <v>0</v>
      </c>
      <c r="AM27" s="29" cm="1">
        <f t="array" ref="AM27">VLOOKUP(K27,技能属性!$A:$Z,14,FALSE)+SUM(_xlfn.XLOOKUP(L27:Z27,增益属性!$A:$A,增益属性!$L:$L))</f>
        <v>0</v>
      </c>
      <c r="AN27" s="29" cm="1">
        <f t="array" ref="AN27">VLOOKUP(K27,技能属性!$A:$Z,15,FALSE)+SUM(_xlfn.XLOOKUP(L27:Z27,增益属性!$A:$A,增益属性!$M:$M))</f>
        <v>0</v>
      </c>
    </row>
    <row r="28" customHeight="1" spans="2:40">
      <c r="B28" s="30"/>
      <c r="G28" s="36">
        <f t="shared" si="0"/>
        <v>0</v>
      </c>
      <c r="H28" s="36">
        <f t="shared" si="1"/>
        <v>0</v>
      </c>
      <c r="I28" s="36">
        <f t="shared" si="2"/>
        <v>0</v>
      </c>
      <c r="J28" s="49">
        <v>1</v>
      </c>
      <c r="K28" s="45" t="s">
        <v>43</v>
      </c>
      <c r="L28" s="45" t="s">
        <v>43</v>
      </c>
      <c r="M28" s="45" t="s">
        <v>43</v>
      </c>
      <c r="N28" s="45" t="s">
        <v>43</v>
      </c>
      <c r="O28" s="45" t="s">
        <v>43</v>
      </c>
      <c r="P28" s="45" t="s">
        <v>43</v>
      </c>
      <c r="Q28" s="45" t="s">
        <v>43</v>
      </c>
      <c r="R28" s="45" t="s">
        <v>43</v>
      </c>
      <c r="S28" s="45" t="s">
        <v>43</v>
      </c>
      <c r="T28" s="45" t="s">
        <v>43</v>
      </c>
      <c r="U28" s="45" t="s">
        <v>43</v>
      </c>
      <c r="V28" s="45" t="s">
        <v>43</v>
      </c>
      <c r="W28" s="45" t="s">
        <v>43</v>
      </c>
      <c r="X28" s="45" t="s">
        <v>43</v>
      </c>
      <c r="Y28" s="45" t="s">
        <v>43</v>
      </c>
      <c r="Z28" s="46" t="s">
        <v>43</v>
      </c>
      <c r="AA28" s="50">
        <f>VLOOKUP(K28,技能属性!$A:$AB,2,FALSE)</f>
        <v>0</v>
      </c>
      <c r="AB28" s="50" cm="1">
        <f t="array" ref="AB28">$C$8+SUM(_xlfn.XLOOKUP(L28:Z28,增益属性!$A:$A,增益属性!$N:$N,0))</f>
        <v>0.08</v>
      </c>
      <c r="AC28" s="36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5196.6288</v>
      </c>
      <c r="AD28" s="29" cm="1">
        <f t="array" ref="AD28">$C$10+VLOOKUP(K28,技能属性!$A:$Z,3,FALSE)+SUM(_xlfn.XLOOKUP(L28:Z28,增益属性!$A:$A,增益属性!$B:$B))</f>
        <v>0.16</v>
      </c>
      <c r="AE28" s="29" cm="1">
        <f t="array" ref="AE28">$C$11+VLOOKUP(K28,技能属性!$A:$AB,4,FALSE)+SUM(_xlfn.XLOOKUP(L28:Z28,增益属性!$A:$A,增益属性!$C:$C))</f>
        <v>1.5</v>
      </c>
      <c r="AF28" s="29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0.6445</v>
      </c>
      <c r="AG28" s="29" cm="1">
        <f t="array" ref="AG28">IF(VLOOKUP(K28,技能属性!$A:$Z,8,FALSE)=0,0,$C$12+SUM(_xlfn.XLOOKUP(L28:Z28,增益属性!$A:$A,增益属性!$F:$F)))</f>
        <v>0</v>
      </c>
      <c r="AH28" s="29" cm="1">
        <f t="array" ref="AH28">VLOOKUP(K28,技能属性!$A:$Z,9,FALSE)+SUM(_xlfn.XLOOKUP(L28:Z28,增益属性!$A:$A,增益属性!$G:$G))</f>
        <v>0</v>
      </c>
      <c r="AI28" s="29" cm="1">
        <f t="array" ref="AI28">VLOOKUP(K28,技能属性!$A:$Z,10,FALSE)+SUM(_xlfn.XLOOKUP(L28:Z28,增益属性!$A:$A,增益属性!$H:$H))</f>
        <v>0</v>
      </c>
      <c r="AJ28" s="29" cm="1">
        <f t="array" ref="AJ28">VLOOKUP(K28,技能属性!$A:$Z,11,FALSE)+SUM(_xlfn.XLOOKUP(L28:Z28,增益属性!$A:$A,增益属性!$I:$I))</f>
        <v>0</v>
      </c>
      <c r="AK28" s="29" cm="1">
        <f t="array" ref="AK28">VLOOKUP(K28,技能属性!$A:$Z,12,FALSE)+SUM(_xlfn.XLOOKUP(L28:Z28,增益属性!$A:$A,增益属性!$J:$J))</f>
        <v>0</v>
      </c>
      <c r="AL28" s="29" cm="1">
        <f t="array" ref="AL28">VLOOKUP(K28,技能属性!$A:$Z,13,FALSE)+SUM(_xlfn.XLOOKUP(L28:Z28,增益属性!$A:$A,增益属性!$K:$K))</f>
        <v>0</v>
      </c>
      <c r="AM28" s="29" cm="1">
        <f t="array" ref="AM28">VLOOKUP(K28,技能属性!$A:$Z,14,FALSE)+SUM(_xlfn.XLOOKUP(L28:Z28,增益属性!$A:$A,增益属性!$L:$L))</f>
        <v>0</v>
      </c>
      <c r="AN28" s="29" cm="1">
        <f t="array" ref="AN28">VLOOKUP(K28,技能属性!$A:$Z,15,FALSE)+SUM(_xlfn.XLOOKUP(L28:Z28,增益属性!$A:$A,增益属性!$M:$M))</f>
        <v>0</v>
      </c>
    </row>
    <row r="29" customHeight="1" spans="2:40">
      <c r="B29" s="30"/>
      <c r="G29" s="36">
        <f t="shared" si="0"/>
        <v>0</v>
      </c>
      <c r="H29" s="36">
        <f t="shared" si="1"/>
        <v>0</v>
      </c>
      <c r="I29" s="36">
        <f t="shared" si="2"/>
        <v>0</v>
      </c>
      <c r="J29" s="49">
        <v>1</v>
      </c>
      <c r="K29" s="45" t="s">
        <v>43</v>
      </c>
      <c r="L29" s="45" t="s">
        <v>43</v>
      </c>
      <c r="M29" s="45" t="s">
        <v>43</v>
      </c>
      <c r="N29" s="45" t="s">
        <v>43</v>
      </c>
      <c r="O29" s="45" t="s">
        <v>43</v>
      </c>
      <c r="P29" s="45" t="s">
        <v>43</v>
      </c>
      <c r="Q29" s="45" t="s">
        <v>43</v>
      </c>
      <c r="R29" s="45" t="s">
        <v>43</v>
      </c>
      <c r="S29" s="45" t="s">
        <v>43</v>
      </c>
      <c r="T29" s="45" t="s">
        <v>43</v>
      </c>
      <c r="U29" s="45" t="s">
        <v>43</v>
      </c>
      <c r="V29" s="45" t="s">
        <v>43</v>
      </c>
      <c r="W29" s="45" t="s">
        <v>43</v>
      </c>
      <c r="X29" s="45" t="s">
        <v>43</v>
      </c>
      <c r="Y29" s="45" t="s">
        <v>43</v>
      </c>
      <c r="Z29" s="46" t="s">
        <v>43</v>
      </c>
      <c r="AA29" s="50">
        <f>VLOOKUP(K29,技能属性!$A:$AB,2,FALSE)</f>
        <v>0</v>
      </c>
      <c r="AB29" s="50" cm="1">
        <f t="array" ref="AB29">$C$8+SUM(_xlfn.XLOOKUP(L29:Z29,增益属性!$A:$A,增益属性!$N:$N,0))</f>
        <v>0.08</v>
      </c>
      <c r="AC29" s="36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5196.6288</v>
      </c>
      <c r="AD29" s="29" cm="1">
        <f t="array" ref="AD29">$C$10+VLOOKUP(K29,技能属性!$A:$Z,3,FALSE)+SUM(_xlfn.XLOOKUP(L29:Z29,增益属性!$A:$A,增益属性!$B:$B))</f>
        <v>0.16</v>
      </c>
      <c r="AE29" s="29" cm="1">
        <f t="array" ref="AE29">$C$11+VLOOKUP(K29,技能属性!$A:$AB,4,FALSE)+SUM(_xlfn.XLOOKUP(L29:Z29,增益属性!$A:$A,增益属性!$C:$C))</f>
        <v>1.5</v>
      </c>
      <c r="AF29" s="29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0.6445</v>
      </c>
      <c r="AG29" s="29" cm="1">
        <f t="array" ref="AG29">IF(VLOOKUP(K29,技能属性!$A:$Z,8,FALSE)=0,0,$C$12+SUM(_xlfn.XLOOKUP(L29:Z29,增益属性!$A:$A,增益属性!$F:$F)))</f>
        <v>0</v>
      </c>
      <c r="AH29" s="29" cm="1">
        <f t="array" ref="AH29">VLOOKUP(K29,技能属性!$A:$Z,9,FALSE)+SUM(_xlfn.XLOOKUP(L29:Z29,增益属性!$A:$A,增益属性!$G:$G))</f>
        <v>0</v>
      </c>
      <c r="AI29" s="29" cm="1">
        <f t="array" ref="AI29">VLOOKUP(K29,技能属性!$A:$Z,10,FALSE)+SUM(_xlfn.XLOOKUP(L29:Z29,增益属性!$A:$A,增益属性!$H:$H))</f>
        <v>0</v>
      </c>
      <c r="AJ29" s="29" cm="1">
        <f t="array" ref="AJ29">VLOOKUP(K29,技能属性!$A:$Z,11,FALSE)+SUM(_xlfn.XLOOKUP(L29:Z29,增益属性!$A:$A,增益属性!$I:$I))</f>
        <v>0</v>
      </c>
      <c r="AK29" s="29" cm="1">
        <f t="array" ref="AK29">VLOOKUP(K29,技能属性!$A:$Z,12,FALSE)+SUM(_xlfn.XLOOKUP(L29:Z29,增益属性!$A:$A,增益属性!$J:$J))</f>
        <v>0</v>
      </c>
      <c r="AL29" s="29" cm="1">
        <f t="array" ref="AL29">VLOOKUP(K29,技能属性!$A:$Z,13,FALSE)+SUM(_xlfn.XLOOKUP(L29:Z29,增益属性!$A:$A,增益属性!$K:$K))</f>
        <v>0</v>
      </c>
      <c r="AM29" s="29" cm="1">
        <f t="array" ref="AM29">VLOOKUP(K29,技能属性!$A:$Z,14,FALSE)+SUM(_xlfn.XLOOKUP(L29:Z29,增益属性!$A:$A,增益属性!$L:$L))</f>
        <v>0</v>
      </c>
      <c r="AN29" s="29" cm="1">
        <f t="array" ref="AN29">VLOOKUP(K29,技能属性!$A:$Z,15,FALSE)+SUM(_xlfn.XLOOKUP(L29:Z29,增益属性!$A:$A,增益属性!$M:$M))</f>
        <v>0</v>
      </c>
    </row>
    <row r="30" customHeight="1" spans="2:40">
      <c r="G30" s="36">
        <f t="shared" si="0"/>
        <v>0</v>
      </c>
      <c r="H30" s="36">
        <f t="shared" si="1"/>
        <v>0</v>
      </c>
      <c r="I30" s="36">
        <f t="shared" si="2"/>
        <v>0</v>
      </c>
      <c r="J30" s="49">
        <v>1</v>
      </c>
      <c r="K30" s="45" t="s">
        <v>43</v>
      </c>
      <c r="L30" s="45" t="s">
        <v>43</v>
      </c>
      <c r="M30" s="45" t="s">
        <v>43</v>
      </c>
      <c r="N30" s="45" t="s">
        <v>43</v>
      </c>
      <c r="O30" s="45" t="s">
        <v>43</v>
      </c>
      <c r="P30" s="45" t="s">
        <v>43</v>
      </c>
      <c r="Q30" s="45" t="s">
        <v>43</v>
      </c>
      <c r="R30" s="45" t="s">
        <v>43</v>
      </c>
      <c r="S30" s="45" t="s">
        <v>43</v>
      </c>
      <c r="T30" s="45" t="s">
        <v>43</v>
      </c>
      <c r="U30" s="45" t="s">
        <v>43</v>
      </c>
      <c r="V30" s="45" t="s">
        <v>43</v>
      </c>
      <c r="W30" s="45" t="s">
        <v>43</v>
      </c>
      <c r="X30" s="45" t="s">
        <v>43</v>
      </c>
      <c r="Y30" s="45" t="s">
        <v>43</v>
      </c>
      <c r="Z30" s="46" t="s">
        <v>43</v>
      </c>
      <c r="AA30" s="50">
        <f>VLOOKUP(K30,技能属性!$A:$AB,2,FALSE)</f>
        <v>0</v>
      </c>
      <c r="AB30" s="50" cm="1">
        <f t="array" ref="AB30">$C$8+SUM(_xlfn.XLOOKUP(L30:Z30,增益属性!$A:$A,增益属性!$N:$N,0))</f>
        <v>0.08</v>
      </c>
      <c r="AC30" s="36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5196.6288</v>
      </c>
      <c r="AD30" s="29" cm="1">
        <f t="array" ref="AD30">$C$10+VLOOKUP(K30,技能属性!$A:$Z,3,FALSE)+SUM(_xlfn.XLOOKUP(L30:Z30,增益属性!$A:$A,增益属性!$B:$B))</f>
        <v>0.16</v>
      </c>
      <c r="AE30" s="29" cm="1">
        <f t="array" ref="AE30">$C$11+VLOOKUP(K30,技能属性!$A:$AB,4,FALSE)+SUM(_xlfn.XLOOKUP(L30:Z30,增益属性!$A:$A,增益属性!$C:$C))</f>
        <v>1.5</v>
      </c>
      <c r="AF30" s="29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0.6445</v>
      </c>
      <c r="AG30" s="29" cm="1">
        <f t="array" ref="AG30">IF(VLOOKUP(K30,技能属性!$A:$Z,8,FALSE)=0,0,$C$12+SUM(_xlfn.XLOOKUP(L30:Z30,增益属性!$A:$A,增益属性!$F:$F)))</f>
        <v>0</v>
      </c>
      <c r="AH30" s="29" cm="1">
        <f t="array" ref="AH30">VLOOKUP(K30,技能属性!$A:$Z,9,FALSE)+SUM(_xlfn.XLOOKUP(L30:Z30,增益属性!$A:$A,增益属性!$G:$G))</f>
        <v>0</v>
      </c>
      <c r="AI30" s="29" cm="1">
        <f t="array" ref="AI30">VLOOKUP(K30,技能属性!$A:$Z,10,FALSE)+SUM(_xlfn.XLOOKUP(L30:Z30,增益属性!$A:$A,增益属性!$H:$H))</f>
        <v>0</v>
      </c>
      <c r="AJ30" s="29" cm="1">
        <f t="array" ref="AJ30">VLOOKUP(K30,技能属性!$A:$Z,11,FALSE)+SUM(_xlfn.XLOOKUP(L30:Z30,增益属性!$A:$A,增益属性!$I:$I))</f>
        <v>0</v>
      </c>
      <c r="AK30" s="29" cm="1">
        <f t="array" ref="AK30">VLOOKUP(K30,技能属性!$A:$Z,12,FALSE)+SUM(_xlfn.XLOOKUP(L30:Z30,增益属性!$A:$A,增益属性!$J:$J))</f>
        <v>0</v>
      </c>
      <c r="AL30" s="29" cm="1">
        <f t="array" ref="AL30">VLOOKUP(K30,技能属性!$A:$Z,13,FALSE)+SUM(_xlfn.XLOOKUP(L30:Z30,增益属性!$A:$A,增益属性!$K:$K))</f>
        <v>0</v>
      </c>
      <c r="AM30" s="29" cm="1">
        <f t="array" ref="AM30">VLOOKUP(K30,技能属性!$A:$Z,14,FALSE)+SUM(_xlfn.XLOOKUP(L30:Z30,增益属性!$A:$A,增益属性!$L:$L))</f>
        <v>0</v>
      </c>
      <c r="AN30" s="29" cm="1">
        <f t="array" ref="AN30">VLOOKUP(K30,技能属性!$A:$Z,15,FALSE)+SUM(_xlfn.XLOOKUP(L30:Z30,增益属性!$A:$A,增益属性!$M:$M))</f>
        <v>0</v>
      </c>
    </row>
    <row r="31" customHeight="1" spans="2:40">
      <c r="G31" s="36">
        <f t="shared" si="0"/>
        <v>0</v>
      </c>
      <c r="H31" s="36">
        <f t="shared" si="1"/>
        <v>0</v>
      </c>
      <c r="I31" s="36">
        <f t="shared" si="2"/>
        <v>0</v>
      </c>
      <c r="J31" s="49">
        <v>1</v>
      </c>
      <c r="K31" s="45" t="s">
        <v>43</v>
      </c>
      <c r="L31" s="45" t="s">
        <v>43</v>
      </c>
      <c r="M31" s="45" t="s">
        <v>43</v>
      </c>
      <c r="N31" s="45" t="s">
        <v>43</v>
      </c>
      <c r="O31" s="45" t="s">
        <v>43</v>
      </c>
      <c r="P31" s="45" t="s">
        <v>43</v>
      </c>
      <c r="Q31" s="45" t="s">
        <v>43</v>
      </c>
      <c r="R31" s="45" t="s">
        <v>43</v>
      </c>
      <c r="S31" s="45" t="s">
        <v>43</v>
      </c>
      <c r="T31" s="45" t="s">
        <v>43</v>
      </c>
      <c r="U31" s="45" t="s">
        <v>43</v>
      </c>
      <c r="V31" s="45" t="s">
        <v>43</v>
      </c>
      <c r="W31" s="45" t="s">
        <v>43</v>
      </c>
      <c r="X31" s="45" t="s">
        <v>43</v>
      </c>
      <c r="Y31" s="45" t="s">
        <v>43</v>
      </c>
      <c r="Z31" s="46" t="s">
        <v>43</v>
      </c>
      <c r="AA31" s="50">
        <f>VLOOKUP(K31,技能属性!$A:$AB,2,FALSE)</f>
        <v>0</v>
      </c>
      <c r="AB31" s="50" cm="1">
        <f t="array" ref="AB31">$C$8+SUM(_xlfn.XLOOKUP(L31:Z31,增益属性!$A:$A,增益属性!$N:$N,0))</f>
        <v>0.08</v>
      </c>
      <c r="AC31" s="36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5196.6288</v>
      </c>
      <c r="AD31" s="29" cm="1">
        <f t="array" ref="AD31">$C$10+VLOOKUP(K31,技能属性!$A:$Z,3,FALSE)+SUM(_xlfn.XLOOKUP(L31:Z31,增益属性!$A:$A,增益属性!$B:$B))</f>
        <v>0.16</v>
      </c>
      <c r="AE31" s="29" cm="1">
        <f t="array" ref="AE31">$C$11+VLOOKUP(K31,技能属性!$A:$AB,4,FALSE)+SUM(_xlfn.XLOOKUP(L31:Z31,增益属性!$A:$A,增益属性!$C:$C))</f>
        <v>1.5</v>
      </c>
      <c r="AF31" s="29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0.6445</v>
      </c>
      <c r="AG31" s="29" cm="1">
        <f t="array" ref="AG31">IF(VLOOKUP(K31,技能属性!$A:$Z,8,FALSE)=0,0,$C$12+SUM(_xlfn.XLOOKUP(L31:Z31,增益属性!$A:$A,增益属性!$F:$F)))</f>
        <v>0</v>
      </c>
      <c r="AH31" s="29" cm="1">
        <f t="array" ref="AH31">VLOOKUP(K31,技能属性!$A:$Z,9,FALSE)+SUM(_xlfn.XLOOKUP(L31:Z31,增益属性!$A:$A,增益属性!$G:$G))</f>
        <v>0</v>
      </c>
      <c r="AI31" s="29" cm="1">
        <f t="array" ref="AI31">VLOOKUP(K31,技能属性!$A:$Z,10,FALSE)+SUM(_xlfn.XLOOKUP(L31:Z31,增益属性!$A:$A,增益属性!$H:$H))</f>
        <v>0</v>
      </c>
      <c r="AJ31" s="29" cm="1">
        <f t="array" ref="AJ31">VLOOKUP(K31,技能属性!$A:$Z,11,FALSE)+SUM(_xlfn.XLOOKUP(L31:Z31,增益属性!$A:$A,增益属性!$I:$I))</f>
        <v>0</v>
      </c>
      <c r="AK31" s="29" cm="1">
        <f t="array" ref="AK31">VLOOKUP(K31,技能属性!$A:$Z,12,FALSE)+SUM(_xlfn.XLOOKUP(L31:Z31,增益属性!$A:$A,增益属性!$J:$J))</f>
        <v>0</v>
      </c>
      <c r="AL31" s="29" cm="1">
        <f t="array" ref="AL31">VLOOKUP(K31,技能属性!$A:$Z,13,FALSE)+SUM(_xlfn.XLOOKUP(L31:Z31,增益属性!$A:$A,增益属性!$K:$K))</f>
        <v>0</v>
      </c>
      <c r="AM31" s="29" cm="1">
        <f t="array" ref="AM31">VLOOKUP(K31,技能属性!$A:$Z,14,FALSE)+SUM(_xlfn.XLOOKUP(L31:Z31,增益属性!$A:$A,增益属性!$L:$L))</f>
        <v>0</v>
      </c>
      <c r="AN31" s="29" cm="1">
        <f t="array" ref="AN31">VLOOKUP(K31,技能属性!$A:$Z,15,FALSE)+SUM(_xlfn.XLOOKUP(L31:Z31,增益属性!$A:$A,增益属性!$M:$M))</f>
        <v>0</v>
      </c>
    </row>
    <row r="32" customHeight="1" spans="2:40">
      <c r="G32" s="36">
        <f t="shared" si="0"/>
        <v>0</v>
      </c>
      <c r="H32" s="36">
        <f t="shared" si="1"/>
        <v>0</v>
      </c>
      <c r="I32" s="36">
        <f t="shared" si="2"/>
        <v>0</v>
      </c>
      <c r="J32" s="49">
        <v>1</v>
      </c>
      <c r="K32" s="45" t="s">
        <v>43</v>
      </c>
      <c r="L32" s="45" t="s">
        <v>43</v>
      </c>
      <c r="M32" s="45" t="s">
        <v>43</v>
      </c>
      <c r="N32" s="45" t="s">
        <v>43</v>
      </c>
      <c r="O32" s="45" t="s">
        <v>43</v>
      </c>
      <c r="P32" s="45" t="s">
        <v>43</v>
      </c>
      <c r="Q32" s="45" t="s">
        <v>43</v>
      </c>
      <c r="R32" s="45" t="s">
        <v>43</v>
      </c>
      <c r="S32" s="45" t="s">
        <v>43</v>
      </c>
      <c r="T32" s="45" t="s">
        <v>43</v>
      </c>
      <c r="U32" s="45" t="s">
        <v>43</v>
      </c>
      <c r="V32" s="45" t="s">
        <v>43</v>
      </c>
      <c r="W32" s="45" t="s">
        <v>43</v>
      </c>
      <c r="X32" s="45" t="s">
        <v>43</v>
      </c>
      <c r="Y32" s="45" t="s">
        <v>43</v>
      </c>
      <c r="Z32" s="46" t="s">
        <v>43</v>
      </c>
      <c r="AA32" s="50">
        <f>VLOOKUP(K32,技能属性!$A:$AB,2,FALSE)</f>
        <v>0</v>
      </c>
      <c r="AB32" s="50" cm="1">
        <f t="array" ref="AB32">$C$8+SUM(_xlfn.XLOOKUP(L32:Z32,增益属性!$A:$A,增益属性!$N:$N,0))</f>
        <v>0.08</v>
      </c>
      <c r="AC32" s="36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5196.6288</v>
      </c>
      <c r="AD32" s="29" cm="1">
        <f t="array" ref="AD32">$C$10+VLOOKUP(K32,技能属性!$A:$Z,3,FALSE)+SUM(_xlfn.XLOOKUP(L32:Z32,增益属性!$A:$A,增益属性!$B:$B))</f>
        <v>0.16</v>
      </c>
      <c r="AE32" s="29" cm="1">
        <f t="array" ref="AE32">$C$11+VLOOKUP(K32,技能属性!$A:$AB,4,FALSE)+SUM(_xlfn.XLOOKUP(L32:Z32,增益属性!$A:$A,增益属性!$C:$C))</f>
        <v>1.5</v>
      </c>
      <c r="AF32" s="29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0.6445</v>
      </c>
      <c r="AG32" s="29" cm="1">
        <f t="array" ref="AG32">IF(VLOOKUP(K32,技能属性!$A:$Z,8,FALSE)=0,0,$C$12+SUM(_xlfn.XLOOKUP(L32:Z32,增益属性!$A:$A,增益属性!$F:$F)))</f>
        <v>0</v>
      </c>
      <c r="AH32" s="29" cm="1">
        <f t="array" ref="AH32">VLOOKUP(K32,技能属性!$A:$Z,9,FALSE)+SUM(_xlfn.XLOOKUP(L32:Z32,增益属性!$A:$A,增益属性!$G:$G))</f>
        <v>0</v>
      </c>
      <c r="AI32" s="29" cm="1">
        <f t="array" ref="AI32">VLOOKUP(K32,技能属性!$A:$Z,10,FALSE)+SUM(_xlfn.XLOOKUP(L32:Z32,增益属性!$A:$A,增益属性!$H:$H))</f>
        <v>0</v>
      </c>
      <c r="AJ32" s="29" cm="1">
        <f t="array" ref="AJ32">VLOOKUP(K32,技能属性!$A:$Z,11,FALSE)+SUM(_xlfn.XLOOKUP(L32:Z32,增益属性!$A:$A,增益属性!$I:$I))</f>
        <v>0</v>
      </c>
      <c r="AK32" s="29" cm="1">
        <f t="array" ref="AK32">VLOOKUP(K32,技能属性!$A:$Z,12,FALSE)+SUM(_xlfn.XLOOKUP(L32:Z32,增益属性!$A:$A,增益属性!$J:$J))</f>
        <v>0</v>
      </c>
      <c r="AL32" s="29" cm="1">
        <f t="array" ref="AL32">VLOOKUP(K32,技能属性!$A:$Z,13,FALSE)+SUM(_xlfn.XLOOKUP(L32:Z32,增益属性!$A:$A,增益属性!$K:$K))</f>
        <v>0</v>
      </c>
      <c r="AM32" s="29" cm="1">
        <f t="array" ref="AM32">VLOOKUP(K32,技能属性!$A:$Z,14,FALSE)+SUM(_xlfn.XLOOKUP(L32:Z32,增益属性!$A:$A,增益属性!$L:$L))</f>
        <v>0</v>
      </c>
      <c r="AN32" s="29" cm="1">
        <f t="array" ref="AN32">VLOOKUP(K32,技能属性!$A:$Z,15,FALSE)+SUM(_xlfn.XLOOKUP(L32:Z32,增益属性!$A:$A,增益属性!$M:$M))</f>
        <v>0</v>
      </c>
    </row>
    <row r="33" customHeight="1" spans="3:40">
      <c r="G33" s="36">
        <f t="shared" si="0"/>
        <v>0</v>
      </c>
      <c r="H33" s="36">
        <f t="shared" si="1"/>
        <v>0</v>
      </c>
      <c r="I33" s="36">
        <f t="shared" si="2"/>
        <v>0</v>
      </c>
      <c r="J33" s="49">
        <v>1</v>
      </c>
      <c r="K33" s="45" t="s">
        <v>43</v>
      </c>
      <c r="L33" s="45" t="s">
        <v>43</v>
      </c>
      <c r="M33" s="45" t="s">
        <v>43</v>
      </c>
      <c r="N33" s="45" t="s">
        <v>43</v>
      </c>
      <c r="O33" s="45" t="s">
        <v>43</v>
      </c>
      <c r="P33" s="45" t="s">
        <v>43</v>
      </c>
      <c r="Q33" s="45" t="s">
        <v>43</v>
      </c>
      <c r="R33" s="45" t="s">
        <v>43</v>
      </c>
      <c r="S33" s="45" t="s">
        <v>43</v>
      </c>
      <c r="T33" s="45" t="s">
        <v>43</v>
      </c>
      <c r="U33" s="45" t="s">
        <v>43</v>
      </c>
      <c r="V33" s="45" t="s">
        <v>43</v>
      </c>
      <c r="W33" s="45" t="s">
        <v>43</v>
      </c>
      <c r="X33" s="45" t="s">
        <v>43</v>
      </c>
      <c r="Y33" s="45" t="s">
        <v>43</v>
      </c>
      <c r="Z33" s="46" t="s">
        <v>43</v>
      </c>
      <c r="AA33" s="50">
        <f>VLOOKUP(K33,技能属性!$A:$AB,2,FALSE)</f>
        <v>0</v>
      </c>
      <c r="AB33" s="50" cm="1">
        <f t="array" ref="AB33">$C$8+SUM(_xlfn.XLOOKUP(L33:Z33,增益属性!$A:$A,增益属性!$N:$N,0))</f>
        <v>0.08</v>
      </c>
      <c r="AC33" s="36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5196.6288</v>
      </c>
      <c r="AD33" s="29" cm="1">
        <f t="array" ref="AD33">$C$10+VLOOKUP(K33,技能属性!$A:$Z,3,FALSE)+SUM(_xlfn.XLOOKUP(L33:Z33,增益属性!$A:$A,增益属性!$B:$B))</f>
        <v>0.16</v>
      </c>
      <c r="AE33" s="29" cm="1">
        <f t="array" ref="AE33">$C$11+VLOOKUP(K33,技能属性!$A:$AB,4,FALSE)+SUM(_xlfn.XLOOKUP(L33:Z33,增益属性!$A:$A,增益属性!$C:$C))</f>
        <v>1.5</v>
      </c>
      <c r="AF33" s="29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0.6445</v>
      </c>
      <c r="AG33" s="29" cm="1">
        <f t="array" ref="AG33">IF(VLOOKUP(K33,技能属性!$A:$Z,8,FALSE)=0,0,$C$12+SUM(_xlfn.XLOOKUP(L33:Z33,增益属性!$A:$A,增益属性!$F:$F)))</f>
        <v>0</v>
      </c>
      <c r="AH33" s="29" cm="1">
        <f t="array" ref="AH33">VLOOKUP(K33,技能属性!$A:$Z,9,FALSE)+SUM(_xlfn.XLOOKUP(L33:Z33,增益属性!$A:$A,增益属性!$G:$G))</f>
        <v>0</v>
      </c>
      <c r="AI33" s="29" cm="1">
        <f t="array" ref="AI33">VLOOKUP(K33,技能属性!$A:$Z,10,FALSE)+SUM(_xlfn.XLOOKUP(L33:Z33,增益属性!$A:$A,增益属性!$H:$H))</f>
        <v>0</v>
      </c>
      <c r="AJ33" s="29" cm="1">
        <f t="array" ref="AJ33">VLOOKUP(K33,技能属性!$A:$Z,11,FALSE)+SUM(_xlfn.XLOOKUP(L33:Z33,增益属性!$A:$A,增益属性!$I:$I))</f>
        <v>0</v>
      </c>
      <c r="AK33" s="29" cm="1">
        <f t="array" ref="AK33">VLOOKUP(K33,技能属性!$A:$Z,12,FALSE)+SUM(_xlfn.XLOOKUP(L33:Z33,增益属性!$A:$A,增益属性!$J:$J))</f>
        <v>0</v>
      </c>
      <c r="AL33" s="29" cm="1">
        <f t="array" ref="AL33">VLOOKUP(K33,技能属性!$A:$Z,13,FALSE)+SUM(_xlfn.XLOOKUP(L33:Z33,增益属性!$A:$A,增益属性!$K:$K))</f>
        <v>0</v>
      </c>
      <c r="AM33" s="29" cm="1">
        <f t="array" ref="AM33">VLOOKUP(K33,技能属性!$A:$Z,14,FALSE)+SUM(_xlfn.XLOOKUP(L33:Z33,增益属性!$A:$A,增益属性!$L:$L))</f>
        <v>0</v>
      </c>
      <c r="AN33" s="29" cm="1">
        <f t="array" ref="AN33">VLOOKUP(K33,技能属性!$A:$Z,15,FALSE)+SUM(_xlfn.XLOOKUP(L33:Z33,增益属性!$A:$A,增益属性!$M:$M))</f>
        <v>0</v>
      </c>
    </row>
    <row r="34" customHeight="1" spans="3:40">
      <c r="C34" s="29"/>
      <c r="G34" s="36">
        <f t="shared" si="0"/>
        <v>0</v>
      </c>
      <c r="H34" s="36">
        <f t="shared" si="1"/>
        <v>0</v>
      </c>
      <c r="I34" s="36">
        <f t="shared" si="2"/>
        <v>0</v>
      </c>
      <c r="J34" s="49">
        <v>1</v>
      </c>
      <c r="K34" s="45" t="s">
        <v>43</v>
      </c>
      <c r="L34" s="45" t="s">
        <v>43</v>
      </c>
      <c r="M34" s="45" t="s">
        <v>43</v>
      </c>
      <c r="N34" s="45" t="s">
        <v>43</v>
      </c>
      <c r="O34" s="45" t="s">
        <v>43</v>
      </c>
      <c r="P34" s="45" t="s">
        <v>43</v>
      </c>
      <c r="Q34" s="45" t="s">
        <v>43</v>
      </c>
      <c r="R34" s="45" t="s">
        <v>43</v>
      </c>
      <c r="S34" s="45" t="s">
        <v>43</v>
      </c>
      <c r="T34" s="45" t="s">
        <v>43</v>
      </c>
      <c r="U34" s="45" t="s">
        <v>43</v>
      </c>
      <c r="V34" s="45" t="s">
        <v>43</v>
      </c>
      <c r="W34" s="45" t="s">
        <v>43</v>
      </c>
      <c r="X34" s="45" t="s">
        <v>43</v>
      </c>
      <c r="Y34" s="45" t="s">
        <v>43</v>
      </c>
      <c r="Z34" s="46" t="s">
        <v>43</v>
      </c>
      <c r="AA34" s="50">
        <f>VLOOKUP(K34,技能属性!$A:$AB,2,FALSE)</f>
        <v>0</v>
      </c>
      <c r="AB34" s="50" cm="1">
        <f t="array" ref="AB34">$C$8+SUM(_xlfn.XLOOKUP(L34:Z34,增益属性!$A:$A,增益属性!$N:$N,0))</f>
        <v>0.08</v>
      </c>
      <c r="AC34" s="36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5196.6288</v>
      </c>
      <c r="AD34" s="29" cm="1">
        <f t="array" ref="AD34">$C$10+VLOOKUP(K34,技能属性!$A:$Z,3,FALSE)+SUM(_xlfn.XLOOKUP(L34:Z34,增益属性!$A:$A,增益属性!$B:$B))</f>
        <v>0.16</v>
      </c>
      <c r="AE34" s="29" cm="1">
        <f t="array" ref="AE34">$C$11+VLOOKUP(K34,技能属性!$A:$AB,4,FALSE)+SUM(_xlfn.XLOOKUP(L34:Z34,增益属性!$A:$A,增益属性!$C:$C))</f>
        <v>1.5</v>
      </c>
      <c r="AF34" s="29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0.6445</v>
      </c>
      <c r="AG34" s="29" cm="1">
        <f t="array" ref="AG34">IF(VLOOKUP(K34,技能属性!$A:$Z,8,FALSE)=0,0,$C$12+SUM(_xlfn.XLOOKUP(L34:Z34,增益属性!$A:$A,增益属性!$F:$F)))</f>
        <v>0</v>
      </c>
      <c r="AH34" s="29" cm="1">
        <f t="array" ref="AH34">VLOOKUP(K34,技能属性!$A:$Z,9,FALSE)+SUM(_xlfn.XLOOKUP(L34:Z34,增益属性!$A:$A,增益属性!$G:$G))</f>
        <v>0</v>
      </c>
      <c r="AI34" s="29" cm="1">
        <f t="array" ref="AI34">VLOOKUP(K34,技能属性!$A:$Z,10,FALSE)+SUM(_xlfn.XLOOKUP(L34:Z34,增益属性!$A:$A,增益属性!$H:$H))</f>
        <v>0</v>
      </c>
      <c r="AJ34" s="29" cm="1">
        <f t="array" ref="AJ34">VLOOKUP(K34,技能属性!$A:$Z,11,FALSE)+SUM(_xlfn.XLOOKUP(L34:Z34,增益属性!$A:$A,增益属性!$I:$I))</f>
        <v>0</v>
      </c>
      <c r="AK34" s="29" cm="1">
        <f t="array" ref="AK34">VLOOKUP(K34,技能属性!$A:$Z,12,FALSE)+SUM(_xlfn.XLOOKUP(L34:Z34,增益属性!$A:$A,增益属性!$J:$J))</f>
        <v>0</v>
      </c>
      <c r="AL34" s="29" cm="1">
        <f t="array" ref="AL34">VLOOKUP(K34,技能属性!$A:$Z,13,FALSE)+SUM(_xlfn.XLOOKUP(L34:Z34,增益属性!$A:$A,增益属性!$K:$K))</f>
        <v>0</v>
      </c>
      <c r="AM34" s="29" cm="1">
        <f t="array" ref="AM34">VLOOKUP(K34,技能属性!$A:$Z,14,FALSE)+SUM(_xlfn.XLOOKUP(L34:Z34,增益属性!$A:$A,增益属性!$L:$L))</f>
        <v>0</v>
      </c>
      <c r="AN34" s="29" cm="1">
        <f t="array" ref="AN34">VLOOKUP(K34,技能属性!$A:$Z,15,FALSE)+SUM(_xlfn.XLOOKUP(L34:Z34,增益属性!$A:$A,增益属性!$M:$M))</f>
        <v>0</v>
      </c>
    </row>
    <row r="35" customHeight="1" spans="3:40">
      <c r="G35" s="36">
        <f t="shared" si="0"/>
        <v>0</v>
      </c>
      <c r="H35" s="36">
        <f t="shared" si="1"/>
        <v>0</v>
      </c>
      <c r="I35" s="36">
        <f t="shared" si="2"/>
        <v>0</v>
      </c>
      <c r="J35" s="49">
        <v>1</v>
      </c>
      <c r="K35" s="45" t="s">
        <v>43</v>
      </c>
      <c r="L35" s="45" t="s">
        <v>43</v>
      </c>
      <c r="M35" s="45" t="s">
        <v>43</v>
      </c>
      <c r="N35" s="45" t="s">
        <v>43</v>
      </c>
      <c r="O35" s="45" t="s">
        <v>43</v>
      </c>
      <c r="P35" s="45" t="s">
        <v>43</v>
      </c>
      <c r="Q35" s="45" t="s">
        <v>43</v>
      </c>
      <c r="R35" s="45" t="s">
        <v>43</v>
      </c>
      <c r="S35" s="45" t="s">
        <v>43</v>
      </c>
      <c r="T35" s="45" t="s">
        <v>43</v>
      </c>
      <c r="U35" s="45" t="s">
        <v>43</v>
      </c>
      <c r="V35" s="45" t="s">
        <v>43</v>
      </c>
      <c r="W35" s="45" t="s">
        <v>43</v>
      </c>
      <c r="X35" s="45" t="s">
        <v>43</v>
      </c>
      <c r="Y35" s="45" t="s">
        <v>43</v>
      </c>
      <c r="Z35" s="46" t="s">
        <v>43</v>
      </c>
      <c r="AA35" s="50">
        <f>VLOOKUP(K35,技能属性!$A:$AB,2,FALSE)</f>
        <v>0</v>
      </c>
      <c r="AB35" s="50" cm="1">
        <f t="array" ref="AB35">$C$8+SUM(_xlfn.XLOOKUP(L35:Z35,增益属性!$A:$A,增益属性!$N:$N,0))</f>
        <v>0.08</v>
      </c>
      <c r="AC35" s="36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5196.6288</v>
      </c>
      <c r="AD35" s="29" cm="1">
        <f t="array" ref="AD35">$C$10+VLOOKUP(K35,技能属性!$A:$Z,3,FALSE)+SUM(_xlfn.XLOOKUP(L35:Z35,增益属性!$A:$A,增益属性!$B:$B))</f>
        <v>0.16</v>
      </c>
      <c r="AE35" s="29" cm="1">
        <f t="array" ref="AE35">$C$11+VLOOKUP(K35,技能属性!$A:$AB,4,FALSE)+SUM(_xlfn.XLOOKUP(L35:Z35,增益属性!$A:$A,增益属性!$C:$C))</f>
        <v>1.5</v>
      </c>
      <c r="AF35" s="29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0.6445</v>
      </c>
      <c r="AG35" s="29" cm="1">
        <f t="array" ref="AG35">IF(VLOOKUP(K35,技能属性!$A:$Z,8,FALSE)=0,0,$C$12+SUM(_xlfn.XLOOKUP(L35:Z35,增益属性!$A:$A,增益属性!$F:$F)))</f>
        <v>0</v>
      </c>
      <c r="AH35" s="29" cm="1">
        <f t="array" ref="AH35">VLOOKUP(K35,技能属性!$A:$Z,9,FALSE)+SUM(_xlfn.XLOOKUP(L35:Z35,增益属性!$A:$A,增益属性!$G:$G))</f>
        <v>0</v>
      </c>
      <c r="AI35" s="29" cm="1">
        <f t="array" ref="AI35">VLOOKUP(K35,技能属性!$A:$Z,10,FALSE)+SUM(_xlfn.XLOOKUP(L35:Z35,增益属性!$A:$A,增益属性!$H:$H))</f>
        <v>0</v>
      </c>
      <c r="AJ35" s="29" cm="1">
        <f t="array" ref="AJ35">VLOOKUP(K35,技能属性!$A:$Z,11,FALSE)+SUM(_xlfn.XLOOKUP(L35:Z35,增益属性!$A:$A,增益属性!$I:$I))</f>
        <v>0</v>
      </c>
      <c r="AK35" s="29" cm="1">
        <f t="array" ref="AK35">VLOOKUP(K35,技能属性!$A:$Z,12,FALSE)+SUM(_xlfn.XLOOKUP(L35:Z35,增益属性!$A:$A,增益属性!$J:$J))</f>
        <v>0</v>
      </c>
      <c r="AL35" s="29" cm="1">
        <f t="array" ref="AL35">VLOOKUP(K35,技能属性!$A:$Z,13,FALSE)+SUM(_xlfn.XLOOKUP(L35:Z35,增益属性!$A:$A,增益属性!$K:$K))</f>
        <v>0</v>
      </c>
      <c r="AM35" s="29" cm="1">
        <f t="array" ref="AM35">VLOOKUP(K35,技能属性!$A:$Z,14,FALSE)+SUM(_xlfn.XLOOKUP(L35:Z35,增益属性!$A:$A,增益属性!$L:$L))</f>
        <v>0</v>
      </c>
      <c r="AN35" s="29" cm="1">
        <f t="array" ref="AN35">VLOOKUP(K35,技能属性!$A:$Z,15,FALSE)+SUM(_xlfn.XLOOKUP(L35:Z35,增益属性!$A:$A,增益属性!$M:$M))</f>
        <v>0</v>
      </c>
    </row>
    <row r="36" customHeight="1" spans="3:40">
      <c r="G36" s="36">
        <f t="shared" si="0"/>
        <v>0</v>
      </c>
      <c r="H36" s="36">
        <f t="shared" si="1"/>
        <v>0</v>
      </c>
      <c r="I36" s="36">
        <f t="shared" si="2"/>
        <v>0</v>
      </c>
      <c r="J36" s="49">
        <v>1</v>
      </c>
      <c r="K36" s="45" t="s">
        <v>43</v>
      </c>
      <c r="L36" s="45" t="s">
        <v>43</v>
      </c>
      <c r="M36" s="45" t="s">
        <v>43</v>
      </c>
      <c r="N36" s="45" t="s">
        <v>43</v>
      </c>
      <c r="O36" s="45" t="s">
        <v>43</v>
      </c>
      <c r="P36" s="45" t="s">
        <v>43</v>
      </c>
      <c r="Q36" s="45" t="s">
        <v>43</v>
      </c>
      <c r="R36" s="45" t="s">
        <v>43</v>
      </c>
      <c r="S36" s="45" t="s">
        <v>43</v>
      </c>
      <c r="T36" s="45" t="s">
        <v>43</v>
      </c>
      <c r="U36" s="45" t="s">
        <v>43</v>
      </c>
      <c r="V36" s="45" t="s">
        <v>43</v>
      </c>
      <c r="W36" s="45" t="s">
        <v>43</v>
      </c>
      <c r="X36" s="45" t="s">
        <v>43</v>
      </c>
      <c r="Y36" s="45" t="s">
        <v>43</v>
      </c>
      <c r="Z36" s="46" t="s">
        <v>43</v>
      </c>
      <c r="AA36" s="50">
        <f>VLOOKUP(K36,技能属性!$A:$AB,2,FALSE)</f>
        <v>0</v>
      </c>
      <c r="AB36" s="50" cm="1">
        <f t="array" ref="AB36">$C$8+SUM(_xlfn.XLOOKUP(L36:Z36,增益属性!$A:$A,增益属性!$N:$N,0))</f>
        <v>0.08</v>
      </c>
      <c r="AC36" s="36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5196.6288</v>
      </c>
      <c r="AD36" s="29" cm="1">
        <f t="array" ref="AD36">$C$10+VLOOKUP(K36,技能属性!$A:$Z,3,FALSE)+SUM(_xlfn.XLOOKUP(L36:Z36,增益属性!$A:$A,增益属性!$B:$B))</f>
        <v>0.16</v>
      </c>
      <c r="AE36" s="29" cm="1">
        <f t="array" ref="AE36">$C$11+VLOOKUP(K36,技能属性!$A:$AB,4,FALSE)+SUM(_xlfn.XLOOKUP(L36:Z36,增益属性!$A:$A,增益属性!$C:$C))</f>
        <v>1.5</v>
      </c>
      <c r="AF36" s="29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0.6445</v>
      </c>
      <c r="AG36" s="29" cm="1">
        <f t="array" ref="AG36">IF(VLOOKUP(K36,技能属性!$A:$Z,8,FALSE)=0,0,$C$12+SUM(_xlfn.XLOOKUP(L36:Z36,增益属性!$A:$A,增益属性!$F:$F)))</f>
        <v>0</v>
      </c>
      <c r="AH36" s="29" cm="1">
        <f t="array" ref="AH36">VLOOKUP(K36,技能属性!$A:$Z,9,FALSE)+SUM(_xlfn.XLOOKUP(L36:Z36,增益属性!$A:$A,增益属性!$G:$G))</f>
        <v>0</v>
      </c>
      <c r="AI36" s="29" cm="1">
        <f t="array" ref="AI36">VLOOKUP(K36,技能属性!$A:$Z,10,FALSE)+SUM(_xlfn.XLOOKUP(L36:Z36,增益属性!$A:$A,增益属性!$H:$H))</f>
        <v>0</v>
      </c>
      <c r="AJ36" s="29" cm="1">
        <f t="array" ref="AJ36">VLOOKUP(K36,技能属性!$A:$Z,11,FALSE)+SUM(_xlfn.XLOOKUP(L36:Z36,增益属性!$A:$A,增益属性!$I:$I))</f>
        <v>0</v>
      </c>
      <c r="AK36" s="29" cm="1">
        <f t="array" ref="AK36">VLOOKUP(K36,技能属性!$A:$Z,12,FALSE)+SUM(_xlfn.XLOOKUP(L36:Z36,增益属性!$A:$A,增益属性!$J:$J))</f>
        <v>0</v>
      </c>
      <c r="AL36" s="29" cm="1">
        <f t="array" ref="AL36">VLOOKUP(K36,技能属性!$A:$Z,13,FALSE)+SUM(_xlfn.XLOOKUP(L36:Z36,增益属性!$A:$A,增益属性!$K:$K))</f>
        <v>0</v>
      </c>
      <c r="AM36" s="29" cm="1">
        <f t="array" ref="AM36">VLOOKUP(K36,技能属性!$A:$Z,14,FALSE)+SUM(_xlfn.XLOOKUP(L36:Z36,增益属性!$A:$A,增益属性!$L:$L))</f>
        <v>0</v>
      </c>
      <c r="AN36" s="29" cm="1">
        <f t="array" ref="AN36">VLOOKUP(K36,技能属性!$A:$Z,15,FALSE)+SUM(_xlfn.XLOOKUP(L36:Z36,增益属性!$A:$A,增益属性!$M:$M))</f>
        <v>0</v>
      </c>
    </row>
    <row r="37" customHeight="1"/>
    <row r="38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L2:M2 N2 P2 W2:Z2 L3:M3 N3 P3 W3:Z3 L4:M4 N4 P4:Z4 L5:N5 P5:Z5 L6:M6 N6 L7:M7 N7 L8:M8 N8 P8:Z8 L9:N9 P9:Z9 O2:O9 Q2:V3 P6:Z7 L10:Z36">
      <formula1>增益属性!$A:$A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workbookViewId="0">
      <selection activeCell="J35" sqref="J35"/>
    </sheetView>
  </sheetViews>
  <sheetFormatPr defaultColWidth="9" defaultRowHeight="13.5"/>
  <cols>
    <col min="1" max="1" width="10.75" customWidth="1"/>
    <col min="3" max="6" width="12.625"/>
    <col min="9" max="9" width="11.75" customWidth="1"/>
    <col min="10" max="10" width="14.75" customWidth="1"/>
  </cols>
  <sheetData>
    <row r="1" spans="1:28">
      <c r="B1" t="s">
        <v>90</v>
      </c>
      <c r="C1" t="s">
        <v>45</v>
      </c>
      <c r="D1" t="s">
        <v>48</v>
      </c>
      <c r="E1" t="s">
        <v>52</v>
      </c>
      <c r="F1" t="s">
        <v>54</v>
      </c>
      <c r="G1" t="s">
        <v>27</v>
      </c>
      <c r="H1" t="s">
        <v>4</v>
      </c>
      <c r="I1" t="s">
        <v>91</v>
      </c>
      <c r="J1" t="s">
        <v>92</v>
      </c>
      <c r="K1" t="s">
        <v>73</v>
      </c>
      <c r="L1" t="s">
        <v>75</v>
      </c>
      <c r="M1" t="s">
        <v>77</v>
      </c>
      <c r="N1" t="s">
        <v>78</v>
      </c>
      <c r="O1" t="s">
        <v>79</v>
      </c>
      <c r="P1" t="s">
        <v>81</v>
      </c>
      <c r="Q1" t="s">
        <v>80</v>
      </c>
      <c r="R1" t="s">
        <v>82</v>
      </c>
      <c r="S1" t="s">
        <v>83</v>
      </c>
      <c r="T1" t="s">
        <v>84</v>
      </c>
      <c r="U1" t="s">
        <v>61</v>
      </c>
      <c r="V1" t="s">
        <v>93</v>
      </c>
      <c r="W1" t="s">
        <v>94</v>
      </c>
      <c r="X1" t="s">
        <v>1</v>
      </c>
      <c r="Y1" t="s">
        <v>95</v>
      </c>
      <c r="Z1" t="s">
        <v>96</v>
      </c>
      <c r="AA1" t="s">
        <v>97</v>
      </c>
      <c r="AB1" t="s">
        <v>98</v>
      </c>
    </row>
    <row r="2" spans="1:28">
      <c r="A2" t="s">
        <v>99</v>
      </c>
      <c r="B2">
        <v>319</v>
      </c>
      <c r="C2">
        <v>123.703134862192</v>
      </c>
      <c r="D2">
        <v>200.845360824742</v>
      </c>
      <c r="E2">
        <v>96.958762886598</v>
      </c>
      <c r="F2">
        <v>107.164948453608</v>
      </c>
      <c r="G2" s="32">
        <v>0.05</v>
      </c>
      <c r="H2" s="32">
        <v>1.5</v>
      </c>
      <c r="I2" s="32"/>
      <c r="X2" t="s">
        <v>48</v>
      </c>
      <c r="Y2" t="s">
        <v>45</v>
      </c>
    </row>
    <row r="3" customFormat="1" spans="1:28">
      <c r="A3" t="s">
        <v>100</v>
      </c>
      <c r="B3">
        <v>312</v>
      </c>
      <c r="C3">
        <v>123.703134862192</v>
      </c>
      <c r="D3">
        <v>192.284662318536</v>
      </c>
      <c r="E3">
        <v>115.490847885546</v>
      </c>
      <c r="F3">
        <v>117.465811066695</v>
      </c>
      <c r="G3" s="32">
        <v>0.05</v>
      </c>
      <c r="H3" s="32">
        <v>1.5</v>
      </c>
      <c r="I3" s="32"/>
      <c r="X3" t="s">
        <v>48</v>
      </c>
      <c r="Y3" t="s">
        <v>45</v>
      </c>
      <c r="Z3" t="s">
        <v>52</v>
      </c>
      <c r="AA3" t="s">
        <v>54</v>
      </c>
      <c r="AB3">
        <v>0.15</v>
      </c>
    </row>
    <row r="4" customFormat="1" spans="1:28">
      <c r="A4" t="s">
        <v>101</v>
      </c>
      <c r="B4">
        <v>312</v>
      </c>
      <c r="C4">
        <v>138.703134862192</v>
      </c>
      <c r="D4">
        <v>207.284662318536</v>
      </c>
      <c r="E4">
        <v>130.490847885546</v>
      </c>
      <c r="F4">
        <v>132.465811066695</v>
      </c>
      <c r="G4" s="32">
        <v>0.05</v>
      </c>
      <c r="H4" s="32">
        <v>1.5</v>
      </c>
      <c r="I4" s="32"/>
      <c r="X4" t="s">
        <v>48</v>
      </c>
      <c r="Y4" t="s">
        <v>45</v>
      </c>
      <c r="Z4" t="s">
        <v>52</v>
      </c>
      <c r="AA4" t="s">
        <v>54</v>
      </c>
      <c r="AB4">
        <v>0.15</v>
      </c>
    </row>
    <row r="5" customFormat="1" spans="1:28">
      <c r="A5" t="s">
        <v>102</v>
      </c>
      <c r="B5">
        <v>312</v>
      </c>
      <c r="C5">
        <v>138.703134862192</v>
      </c>
      <c r="D5">
        <v>207.284662318536</v>
      </c>
      <c r="E5">
        <v>130.490847885546</v>
      </c>
      <c r="F5">
        <v>132.465811066695</v>
      </c>
      <c r="G5" s="32">
        <v>0.05</v>
      </c>
      <c r="H5" s="32">
        <v>1.5</v>
      </c>
      <c r="I5" s="32"/>
      <c r="X5" t="s">
        <v>48</v>
      </c>
      <c r="Y5" t="s">
        <v>45</v>
      </c>
      <c r="Z5" t="s">
        <v>52</v>
      </c>
      <c r="AA5" t="s">
        <v>54</v>
      </c>
      <c r="AB5">
        <v>0.2</v>
      </c>
    </row>
    <row r="6" spans="1:28">
      <c r="A6" t="s">
        <v>103</v>
      </c>
      <c r="B6">
        <v>318</v>
      </c>
      <c r="C6">
        <v>121.374458236903</v>
      </c>
      <c r="D6">
        <v>99.973280033663</v>
      </c>
      <c r="E6">
        <v>237.985272459499</v>
      </c>
      <c r="F6">
        <v>89.8144329896907</v>
      </c>
      <c r="G6" s="32">
        <v>0.05</v>
      </c>
      <c r="H6" s="32">
        <v>1.5</v>
      </c>
      <c r="X6" t="s">
        <v>52</v>
      </c>
      <c r="Y6" t="s">
        <v>45</v>
      </c>
    </row>
    <row r="7" customFormat="1" spans="1:28">
      <c r="A7" t="s">
        <v>104</v>
      </c>
      <c r="B7">
        <v>318</v>
      </c>
      <c r="C7">
        <v>121.374458236903</v>
      </c>
      <c r="D7">
        <v>99.973280033663</v>
      </c>
      <c r="E7">
        <v>257.985272459499</v>
      </c>
      <c r="F7">
        <v>89.8144329896907</v>
      </c>
      <c r="G7" s="32">
        <v>0.05</v>
      </c>
      <c r="H7" s="32">
        <v>1.5</v>
      </c>
      <c r="P7" s="32">
        <v>0.15</v>
      </c>
      <c r="X7" t="s">
        <v>52</v>
      </c>
      <c r="Y7" t="s">
        <v>45</v>
      </c>
    </row>
    <row r="8" spans="1:28">
      <c r="A8" t="s">
        <v>105</v>
      </c>
      <c r="B8">
        <v>323</v>
      </c>
      <c r="C8">
        <v>236.411739953713</v>
      </c>
      <c r="D8">
        <v>96.958762886598</v>
      </c>
      <c r="E8">
        <v>86.7525773195877</v>
      </c>
      <c r="F8">
        <v>120.2621922996</v>
      </c>
      <c r="G8" s="32">
        <v>0.05</v>
      </c>
      <c r="H8" s="32">
        <v>1.5</v>
      </c>
      <c r="X8" t="s">
        <v>45</v>
      </c>
      <c r="Y8" t="s">
        <v>54</v>
      </c>
    </row>
    <row r="9" customFormat="1" spans="1:28">
      <c r="A9" t="s">
        <v>106</v>
      </c>
      <c r="B9">
        <v>323</v>
      </c>
      <c r="C9">
        <v>256.411739953713</v>
      </c>
      <c r="D9">
        <v>96.958762886598</v>
      </c>
      <c r="E9">
        <v>86.7525773195877</v>
      </c>
      <c r="F9">
        <v>140.2621922996</v>
      </c>
      <c r="G9" s="32">
        <v>0.05</v>
      </c>
      <c r="H9" s="32">
        <v>1.5</v>
      </c>
      <c r="X9" t="s">
        <v>45</v>
      </c>
      <c r="Y9" t="s">
        <v>54</v>
      </c>
    </row>
    <row r="10" spans="1:28">
      <c r="A10" t="s">
        <v>107</v>
      </c>
      <c r="B10">
        <v>329</v>
      </c>
      <c r="C10">
        <v>89.8144329896907</v>
      </c>
      <c r="D10">
        <v>92.8762886597939</v>
      </c>
      <c r="E10">
        <v>127.164906374921</v>
      </c>
      <c r="F10">
        <v>231.747948664002</v>
      </c>
      <c r="G10" s="32">
        <v>0.05</v>
      </c>
      <c r="H10" s="32">
        <v>1.5</v>
      </c>
      <c r="J10" s="32">
        <v>0.07</v>
      </c>
      <c r="X10" t="s">
        <v>54</v>
      </c>
      <c r="Y10" t="s">
        <v>52</v>
      </c>
    </row>
    <row r="11" spans="1:28">
      <c r="A11" t="s">
        <v>108</v>
      </c>
      <c r="B11">
        <v>329</v>
      </c>
      <c r="C11">
        <v>89.8144329896907</v>
      </c>
      <c r="D11">
        <v>92.8762886597939</v>
      </c>
      <c r="E11">
        <v>127.164906374921</v>
      </c>
      <c r="F11">
        <v>231.747948664002</v>
      </c>
      <c r="G11" s="32">
        <v>0.05</v>
      </c>
      <c r="H11" s="32">
        <v>1.5</v>
      </c>
      <c r="J11" s="32">
        <v>0.12</v>
      </c>
      <c r="X11" t="s">
        <v>54</v>
      </c>
      <c r="Y11" t="s">
        <v>52</v>
      </c>
    </row>
    <row r="12" spans="1:28">
      <c r="A12" t="s">
        <v>109</v>
      </c>
      <c r="B12">
        <v>323</v>
      </c>
      <c r="C12">
        <v>112.126025667999</v>
      </c>
      <c r="D12">
        <v>93.8969072164949</v>
      </c>
      <c r="E12">
        <v>205.935198821797</v>
      </c>
      <c r="F12">
        <v>118.245949926362</v>
      </c>
      <c r="G12" s="32">
        <v>0.05</v>
      </c>
      <c r="H12" s="32">
        <v>1.5</v>
      </c>
      <c r="X12" t="s">
        <v>52</v>
      </c>
      <c r="Y12" t="s">
        <v>54</v>
      </c>
    </row>
    <row r="13" spans="1:28">
      <c r="A13" t="s">
        <v>110</v>
      </c>
      <c r="B13">
        <v>321</v>
      </c>
      <c r="C13">
        <v>101.240058910162</v>
      </c>
      <c r="D13">
        <v>110.251798863875</v>
      </c>
      <c r="E13">
        <v>97.006101409636</v>
      </c>
      <c r="F13">
        <v>233.236271828319</v>
      </c>
      <c r="G13" s="32">
        <v>0.05</v>
      </c>
      <c r="H13" s="32">
        <v>1.5</v>
      </c>
      <c r="X13" t="s">
        <v>54</v>
      </c>
      <c r="Y13" t="s">
        <v>48</v>
      </c>
    </row>
    <row r="14" spans="1:28">
      <c r="A14" t="s">
        <v>111</v>
      </c>
      <c r="B14">
        <v>321</v>
      </c>
      <c r="C14">
        <v>101.240058910162</v>
      </c>
      <c r="D14">
        <v>110.251798863875</v>
      </c>
      <c r="E14">
        <v>97.006101409636</v>
      </c>
      <c r="F14">
        <v>253.236271828319</v>
      </c>
      <c r="G14" s="32">
        <v>0.05</v>
      </c>
      <c r="H14" s="32">
        <v>1.5</v>
      </c>
      <c r="K14" s="32">
        <v>0.1</v>
      </c>
      <c r="X14" t="s">
        <v>54</v>
      </c>
      <c r="Y14" t="s">
        <v>48</v>
      </c>
    </row>
    <row r="15" spans="1:28">
      <c r="A15" t="s">
        <v>112</v>
      </c>
      <c r="B15">
        <v>321</v>
      </c>
      <c r="C15">
        <v>82.6701030927835</v>
      </c>
      <c r="D15">
        <v>128.152198611403</v>
      </c>
      <c r="E15">
        <v>236.681569535031</v>
      </c>
      <c r="F15">
        <v>105.123711340206</v>
      </c>
      <c r="G15" s="32">
        <v>0.05</v>
      </c>
      <c r="H15" s="32">
        <v>1.5</v>
      </c>
      <c r="X15" t="s">
        <v>52</v>
      </c>
      <c r="Y15" t="s">
        <v>48</v>
      </c>
    </row>
    <row r="16" spans="1:28">
      <c r="A16" t="s">
        <v>113</v>
      </c>
      <c r="B16">
        <v>321</v>
      </c>
      <c r="C16">
        <v>82.6701030927835</v>
      </c>
      <c r="D16">
        <v>128.152198611403</v>
      </c>
      <c r="E16">
        <v>256.681569535031</v>
      </c>
      <c r="F16">
        <v>105.123711340206</v>
      </c>
      <c r="G16" s="32">
        <v>0.12</v>
      </c>
      <c r="H16" s="32">
        <v>1.5</v>
      </c>
      <c r="X16" t="s">
        <v>52</v>
      </c>
      <c r="Y16" t="s">
        <v>48</v>
      </c>
    </row>
    <row r="17" spans="1:25">
      <c r="A17" t="s">
        <v>114</v>
      </c>
      <c r="B17">
        <v>332</v>
      </c>
      <c r="C17">
        <v>215.177572059752</v>
      </c>
      <c r="D17">
        <v>104.245487060804</v>
      </c>
      <c r="E17">
        <v>93.8969072164949</v>
      </c>
      <c r="F17">
        <v>109.34782242794</v>
      </c>
      <c r="G17" s="32">
        <v>0.05</v>
      </c>
      <c r="H17" s="32">
        <v>1.5</v>
      </c>
      <c r="X17" t="s">
        <v>45</v>
      </c>
      <c r="Y17" t="s">
        <v>54</v>
      </c>
    </row>
    <row r="18" spans="1:25">
      <c r="A18" t="s">
        <v>115</v>
      </c>
      <c r="B18">
        <v>332</v>
      </c>
      <c r="C18">
        <v>235.177572059752</v>
      </c>
      <c r="D18">
        <v>104.245487060804</v>
      </c>
      <c r="E18">
        <v>93.8969072164949</v>
      </c>
      <c r="F18">
        <v>109.34782242794</v>
      </c>
      <c r="G18" s="32">
        <v>0.05</v>
      </c>
      <c r="H18" s="32">
        <v>1.5</v>
      </c>
      <c r="N18" s="32">
        <v>0.1</v>
      </c>
      <c r="X18" t="s">
        <v>45</v>
      </c>
      <c r="Y18" t="s">
        <v>54</v>
      </c>
    </row>
    <row r="19" spans="1:25">
      <c r="A19" t="s">
        <v>116</v>
      </c>
      <c r="B19">
        <v>321</v>
      </c>
      <c r="C19" s="34">
        <v>123.598990125306</v>
      </c>
      <c r="D19" s="34">
        <f>179.615611233265+60</f>
        <v>239.615611233265</v>
      </c>
      <c r="E19" s="34">
        <v>85.7508941758061</v>
      </c>
      <c r="F19" s="34">
        <v>102.061855683163</v>
      </c>
      <c r="G19" s="32">
        <v>0.05</v>
      </c>
      <c r="H19" s="32">
        <v>1.5</v>
      </c>
      <c r="K19" s="32"/>
      <c r="X19" t="s">
        <v>48</v>
      </c>
      <c r="Y19" t="s">
        <v>45</v>
      </c>
    </row>
    <row r="20" spans="1:25">
      <c r="A20" t="s">
        <v>117</v>
      </c>
      <c r="B20">
        <v>321</v>
      </c>
      <c r="C20" s="34">
        <v>123.598990125306</v>
      </c>
      <c r="D20" s="34">
        <f>179.615611233265+80</f>
        <v>259.615611233265</v>
      </c>
      <c r="E20" s="34">
        <v>85.7508941758061</v>
      </c>
      <c r="F20" s="34">
        <v>102.061855683163</v>
      </c>
      <c r="G20" s="32">
        <v>0.05</v>
      </c>
      <c r="H20" s="32">
        <v>1.5</v>
      </c>
      <c r="K20" s="32"/>
      <c r="N20" s="32">
        <v>0.1</v>
      </c>
      <c r="X20" t="s">
        <v>48</v>
      </c>
      <c r="Y20" t="s">
        <v>45</v>
      </c>
    </row>
    <row r="21" spans="1:25">
      <c r="A21" t="s">
        <v>118</v>
      </c>
      <c r="B21">
        <v>323</v>
      </c>
      <c r="C21" s="34">
        <v>97.9793814086122</v>
      </c>
      <c r="D21" s="34">
        <f>176.553755550102+60</f>
        <v>236.553755550102</v>
      </c>
      <c r="E21" s="34">
        <v>118.079318285</v>
      </c>
      <c r="F21" s="34">
        <v>89.814432986653</v>
      </c>
      <c r="G21" s="32">
        <v>0.05</v>
      </c>
      <c r="H21" s="32">
        <v>1.5</v>
      </c>
      <c r="K21" s="32"/>
      <c r="X21" t="s">
        <v>48</v>
      </c>
      <c r="Y21" t="s">
        <v>52</v>
      </c>
    </row>
    <row r="22" spans="1:25">
      <c r="A22" t="s">
        <v>119</v>
      </c>
      <c r="B22">
        <v>323</v>
      </c>
      <c r="C22" s="34">
        <v>97.9793814086122</v>
      </c>
      <c r="D22" s="34">
        <f>176.553755550102+60+20</f>
        <v>256.553755550102</v>
      </c>
      <c r="E22" s="34">
        <v>118.079318285</v>
      </c>
      <c r="F22" s="34">
        <v>89.814432986653</v>
      </c>
      <c r="G22" s="32">
        <v>0.12</v>
      </c>
      <c r="H22" s="32">
        <v>1.5</v>
      </c>
      <c r="K22" s="32"/>
      <c r="X22" t="s">
        <v>48</v>
      </c>
      <c r="Y22" t="s">
        <v>52</v>
      </c>
    </row>
    <row r="23" customFormat="1" spans="1:25">
      <c r="A23" t="s">
        <v>120</v>
      </c>
      <c r="B23">
        <v>326</v>
      </c>
      <c r="C23">
        <v>99</v>
      </c>
      <c r="D23">
        <v>99</v>
      </c>
      <c r="E23">
        <v>123.91</v>
      </c>
      <c r="F23">
        <f>184.28+60</f>
        <v>244.28</v>
      </c>
      <c r="G23" s="32">
        <v>0.05</v>
      </c>
      <c r="H23" s="32">
        <v>1.5</v>
      </c>
      <c r="K23" s="32"/>
      <c r="X23" t="s">
        <v>54</v>
      </c>
      <c r="Y23" t="s">
        <v>52</v>
      </c>
    </row>
    <row r="24" customFormat="1" spans="1:25">
      <c r="A24" t="s">
        <v>121</v>
      </c>
      <c r="B24">
        <v>326</v>
      </c>
      <c r="C24">
        <v>99</v>
      </c>
      <c r="D24">
        <v>99</v>
      </c>
      <c r="E24">
        <v>123.91</v>
      </c>
      <c r="F24">
        <f>184.28+60+20</f>
        <v>264.28</v>
      </c>
      <c r="G24" s="32">
        <v>0.05</v>
      </c>
      <c r="H24" s="32">
        <v>1.5</v>
      </c>
      <c r="K24" s="32"/>
      <c r="R24" s="32">
        <v>0.15</v>
      </c>
      <c r="X24" t="s">
        <v>54</v>
      </c>
      <c r="Y24" t="s">
        <v>52</v>
      </c>
    </row>
    <row r="25" customFormat="1" spans="1:25">
      <c r="A25" t="s">
        <v>37</v>
      </c>
      <c r="B25">
        <v>315</v>
      </c>
      <c r="C25">
        <f>173.46+60</f>
        <v>233.46</v>
      </c>
      <c r="D25">
        <v>92.94</v>
      </c>
      <c r="E25">
        <v>90.9</v>
      </c>
      <c r="F25">
        <v>119.25</v>
      </c>
      <c r="G25" s="32">
        <v>0.05</v>
      </c>
      <c r="H25" s="32">
        <v>1.5</v>
      </c>
      <c r="I25"/>
      <c r="K25" s="32"/>
      <c r="X25" t="s">
        <v>45</v>
      </c>
      <c r="Y25" t="s">
        <v>54</v>
      </c>
    </row>
    <row r="26" customFormat="1" spans="1:25">
      <c r="A26" t="s">
        <v>122</v>
      </c>
      <c r="B26">
        <v>315</v>
      </c>
      <c r="C26">
        <f>173.46+60+20</f>
        <v>253.46</v>
      </c>
      <c r="D26">
        <v>92.94</v>
      </c>
      <c r="E26">
        <v>90.9</v>
      </c>
      <c r="F26">
        <v>119.25</v>
      </c>
      <c r="G26" s="32">
        <v>0.05</v>
      </c>
      <c r="H26" s="32">
        <v>1.5</v>
      </c>
      <c r="I26" s="32">
        <v>0.16</v>
      </c>
      <c r="K26" s="32"/>
      <c r="X26" t="s">
        <v>45</v>
      </c>
      <c r="Y26" t="s">
        <v>54</v>
      </c>
    </row>
    <row r="27" spans="1:25">
      <c r="A27" t="s">
        <v>123</v>
      </c>
      <c r="B27">
        <v>297</v>
      </c>
      <c r="C27">
        <v>106.654639175258</v>
      </c>
      <c r="D27">
        <v>246.762150220913</v>
      </c>
      <c r="E27">
        <v>85.7508941721018</v>
      </c>
      <c r="F27">
        <v>93.9158426257101</v>
      </c>
      <c r="G27" s="32">
        <v>0.05</v>
      </c>
      <c r="H27" s="32">
        <v>1.5</v>
      </c>
      <c r="K27" s="32">
        <v>0.08</v>
      </c>
      <c r="X27" t="s">
        <v>48</v>
      </c>
      <c r="Y27" t="s">
        <v>45</v>
      </c>
    </row>
    <row r="28" spans="1:25">
      <c r="A28" t="s">
        <v>124</v>
      </c>
      <c r="B28">
        <v>303</v>
      </c>
      <c r="C28">
        <v>250.136440143068</v>
      </c>
      <c r="D28">
        <v>96.958762886598</v>
      </c>
      <c r="E28">
        <v>94.964864296234</v>
      </c>
      <c r="F28">
        <v>102.174332000842</v>
      </c>
      <c r="G28" s="32">
        <v>0.05</v>
      </c>
      <c r="H28" s="32">
        <v>1.5</v>
      </c>
      <c r="K28" s="32">
        <v>0.08</v>
      </c>
      <c r="X28" t="s">
        <v>45</v>
      </c>
      <c r="Y28" t="s">
        <v>54</v>
      </c>
    </row>
    <row r="29" spans="1:25">
      <c r="A29" t="s">
        <v>125</v>
      </c>
      <c r="B29">
        <v>294</v>
      </c>
      <c r="C29">
        <v>236.718809173154</v>
      </c>
      <c r="D29">
        <v>110.427835051546</v>
      </c>
      <c r="E29">
        <v>92.8762886597939</v>
      </c>
      <c r="F29">
        <v>111.484115295603</v>
      </c>
      <c r="G29" s="32">
        <v>0.05</v>
      </c>
      <c r="H29" s="32">
        <v>1.5</v>
      </c>
      <c r="X29" t="s">
        <v>45</v>
      </c>
      <c r="Y29" t="s">
        <v>48</v>
      </c>
    </row>
    <row r="30" spans="1:25">
      <c r="A30" s="35" t="s">
        <v>126</v>
      </c>
      <c r="B30">
        <v>306</v>
      </c>
      <c r="C30">
        <v>107.458447296444</v>
      </c>
      <c r="D30">
        <v>220.438144329897</v>
      </c>
      <c r="E30">
        <v>138.494845360825</v>
      </c>
      <c r="F30">
        <v>100.020618556701</v>
      </c>
      <c r="G30" s="32">
        <v>0.05</v>
      </c>
      <c r="H30" s="32">
        <v>1.5</v>
      </c>
      <c r="X30" t="s">
        <v>48</v>
      </c>
      <c r="Y30" t="s">
        <v>52</v>
      </c>
    </row>
    <row r="31" spans="1:25">
      <c r="A31" t="s">
        <v>127</v>
      </c>
      <c r="B31">
        <v>303</v>
      </c>
      <c r="C31">
        <v>91.8556701030928</v>
      </c>
      <c r="D31">
        <v>93.8969072164949</v>
      </c>
      <c r="E31">
        <v>221.699495055754</v>
      </c>
      <c r="F31">
        <v>113.588596675784</v>
      </c>
      <c r="G31" s="32">
        <v>0.05</v>
      </c>
      <c r="H31" s="32">
        <v>1.5</v>
      </c>
      <c r="X31" t="s">
        <v>52</v>
      </c>
      <c r="Y31" t="s">
        <v>54</v>
      </c>
    </row>
    <row r="32" customFormat="1" spans="1:25">
      <c r="A32" t="s">
        <v>128</v>
      </c>
      <c r="B32">
        <v>291</v>
      </c>
      <c r="C32">
        <v>89.8381022512098</v>
      </c>
      <c r="D32">
        <v>91.8651378077004</v>
      </c>
      <c r="E32">
        <v>142.144077424784</v>
      </c>
      <c r="F32">
        <v>210.030927835052</v>
      </c>
      <c r="G32" s="32">
        <v>0.05</v>
      </c>
      <c r="H32" s="32">
        <v>1.5</v>
      </c>
      <c r="X32" t="s">
        <v>54</v>
      </c>
      <c r="Y32" t="s">
        <v>52</v>
      </c>
    </row>
    <row r="33" customFormat="1" spans="1:25">
      <c r="A33" t="s">
        <v>129</v>
      </c>
      <c r="B33">
        <v>297</v>
      </c>
      <c r="C33">
        <v>129.36860929939</v>
      </c>
      <c r="D33">
        <v>86.8188512518409</v>
      </c>
      <c r="E33">
        <v>235.226593730276</v>
      </c>
      <c r="F33">
        <v>142.80265095729</v>
      </c>
      <c r="G33" s="32">
        <v>0.05</v>
      </c>
      <c r="H33" s="32">
        <v>1.5</v>
      </c>
      <c r="X33" t="s">
        <v>52</v>
      </c>
      <c r="Y33" t="s">
        <v>45</v>
      </c>
    </row>
    <row r="34" customFormat="1" spans="1:25">
      <c r="A34" t="s">
        <v>130</v>
      </c>
      <c r="B34">
        <v>312</v>
      </c>
      <c r="C34">
        <v>107.354302545761</v>
      </c>
      <c r="D34">
        <v>106.654639175258</v>
      </c>
      <c r="E34">
        <v>110.501367557332</v>
      </c>
      <c r="F34">
        <v>223.5</v>
      </c>
      <c r="G34" s="32">
        <v>0.05</v>
      </c>
      <c r="H34" s="32">
        <v>1.5</v>
      </c>
      <c r="X34" t="s">
        <v>54</v>
      </c>
      <c r="Y34" t="s">
        <v>48</v>
      </c>
    </row>
    <row r="35" customFormat="1" spans="1:25">
      <c r="A35" t="s">
        <v>131</v>
      </c>
      <c r="B35">
        <v>297</v>
      </c>
      <c r="C35">
        <v>214.893540921523</v>
      </c>
      <c r="D35">
        <v>104.57685672207</v>
      </c>
      <c r="E35">
        <v>93.8969072164949</v>
      </c>
      <c r="F35">
        <v>128.9</v>
      </c>
      <c r="G35" s="32">
        <v>0.05</v>
      </c>
      <c r="H35" s="32">
        <v>1.5</v>
      </c>
      <c r="X35" t="s">
        <v>45</v>
      </c>
      <c r="Y35" t="s">
        <v>54</v>
      </c>
    </row>
    <row r="36" customFormat="1" spans="1:25">
      <c r="A36" t="s">
        <v>132</v>
      </c>
      <c r="B36">
        <v>319</v>
      </c>
      <c r="C36">
        <v>110.435093625079</v>
      </c>
      <c r="D36">
        <v>210.930570166211</v>
      </c>
      <c r="E36">
        <v>116.810856301283</v>
      </c>
      <c r="F36">
        <v>108.034083736587</v>
      </c>
      <c r="G36" s="32">
        <v>0.05</v>
      </c>
      <c r="H36" s="32">
        <v>1.5</v>
      </c>
      <c r="X36" t="s">
        <v>48</v>
      </c>
      <c r="Y36" t="s">
        <v>52</v>
      </c>
    </row>
    <row r="37" customFormat="1" spans="1:25">
      <c r="A37" t="s">
        <v>133</v>
      </c>
      <c r="B37">
        <v>300</v>
      </c>
      <c r="C37">
        <v>236.411739953713</v>
      </c>
      <c r="D37">
        <v>96.958762886598</v>
      </c>
      <c r="E37">
        <v>86.7525773195877</v>
      </c>
      <c r="F37">
        <v>116.717126025668</v>
      </c>
      <c r="G37" s="32">
        <v>0.05</v>
      </c>
      <c r="H37" s="32">
        <v>1.5</v>
      </c>
      <c r="X37" t="s">
        <v>45</v>
      </c>
      <c r="Y37" t="s">
        <v>54</v>
      </c>
    </row>
    <row r="38" customFormat="1" spans="1:25">
      <c r="A38" t="s">
        <v>134</v>
      </c>
      <c r="B38">
        <v>312</v>
      </c>
      <c r="C38">
        <v>114.63839680202</v>
      </c>
      <c r="D38">
        <v>97.8752366926152</v>
      </c>
      <c r="E38">
        <v>110.501367557332</v>
      </c>
      <c r="F38">
        <v>221.53345255628</v>
      </c>
      <c r="G38" s="32">
        <v>0.05</v>
      </c>
      <c r="H38" s="32">
        <v>1.5</v>
      </c>
      <c r="X38" t="s">
        <v>54</v>
      </c>
      <c r="Y38" t="s">
        <v>45</v>
      </c>
    </row>
    <row r="39" customFormat="1" spans="1:25">
      <c r="A39" t="s">
        <v>135</v>
      </c>
      <c r="B39">
        <v>303</v>
      </c>
      <c r="C39">
        <v>90.2688828108563</v>
      </c>
      <c r="D39">
        <v>238.189038501999</v>
      </c>
      <c r="E39">
        <v>124.596717862403</v>
      </c>
      <c r="F39">
        <v>91.9314117399537</v>
      </c>
      <c r="G39" s="32">
        <v>0.05</v>
      </c>
      <c r="H39" s="32">
        <v>1.5</v>
      </c>
      <c r="X39" t="s">
        <v>48</v>
      </c>
      <c r="Y39" t="s">
        <v>52</v>
      </c>
    </row>
    <row r="40" customFormat="1" spans="1:25">
      <c r="A40" t="s">
        <v>136</v>
      </c>
      <c r="B40">
        <v>309</v>
      </c>
      <c r="C40">
        <v>233.069009046918</v>
      </c>
      <c r="D40">
        <v>95.9192089206817</v>
      </c>
      <c r="E40">
        <v>140.823521986114</v>
      </c>
      <c r="F40">
        <v>89.9753839680202</v>
      </c>
      <c r="G40" s="32">
        <v>0.05</v>
      </c>
      <c r="H40" s="32">
        <v>1.5</v>
      </c>
      <c r="X40" t="s">
        <v>45</v>
      </c>
      <c r="Y40" t="s">
        <v>52</v>
      </c>
    </row>
  </sheetData>
  <dataValidations count="1">
    <dataValidation type="list" allowBlank="1" showInputMessage="1" showErrorMessage="1" sqref="X2:Y2 X12 X25 X26 X27:Y27 X28 X8:X9 X17:X18 Y10:Y11 Y13:Y14 X15:Y16 X19:Y20 X41:Y42 X3:AA5 X6:Y7">
      <formula1>"力量,敏捷,智识,意志"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4"/>
  <sheetViews>
    <sheetView workbookViewId="0">
      <pane ySplit="1" topLeftCell="A11" activePane="bottomLeft" state="frozen"/>
      <selection/>
      <selection pane="bottomLeft" activeCell="H48" sqref="H48"/>
    </sheetView>
  </sheetViews>
  <sheetFormatPr defaultColWidth="9" defaultRowHeight="13.5"/>
  <cols>
    <col min="1" max="4" width="12.875" customWidth="1"/>
    <col min="11" max="11" width="11.125" customWidth="1"/>
    <col min="21" max="21" width="10.375" customWidth="1"/>
    <col min="23" max="23" width="10.625" style="28" customWidth="1"/>
  </cols>
  <sheetData>
    <row r="1" spans="1:25">
      <c r="B1" t="s">
        <v>90</v>
      </c>
      <c r="C1" t="s">
        <v>1</v>
      </c>
      <c r="D1" t="s">
        <v>2</v>
      </c>
      <c r="E1" t="s">
        <v>45</v>
      </c>
      <c r="F1" t="s">
        <v>48</v>
      </c>
      <c r="G1" t="s">
        <v>52</v>
      </c>
      <c r="H1" t="s">
        <v>54</v>
      </c>
      <c r="I1" t="s">
        <v>27</v>
      </c>
      <c r="J1" t="s">
        <v>4</v>
      </c>
      <c r="K1" t="s">
        <v>91</v>
      </c>
      <c r="L1" t="s">
        <v>92</v>
      </c>
      <c r="M1" t="s">
        <v>73</v>
      </c>
      <c r="N1" t="s">
        <v>75</v>
      </c>
      <c r="O1" t="s">
        <v>77</v>
      </c>
      <c r="P1" t="s">
        <v>78</v>
      </c>
      <c r="Q1" t="s">
        <v>79</v>
      </c>
      <c r="R1" t="s">
        <v>81</v>
      </c>
      <c r="S1" t="s">
        <v>80</v>
      </c>
      <c r="T1" t="s">
        <v>82</v>
      </c>
      <c r="U1" t="s">
        <v>83</v>
      </c>
      <c r="V1" t="s">
        <v>84</v>
      </c>
      <c r="W1" s="28" t="s">
        <v>61</v>
      </c>
      <c r="X1" t="s">
        <v>93</v>
      </c>
      <c r="Y1" t="s">
        <v>94</v>
      </c>
    </row>
    <row r="2" spans="1:25">
      <c r="A2" t="s">
        <v>137</v>
      </c>
      <c r="B2">
        <v>500</v>
      </c>
      <c r="F2">
        <v>156</v>
      </c>
      <c r="K2" s="32">
        <v>0.48</v>
      </c>
      <c r="W2" s="28">
        <v>0.39</v>
      </c>
    </row>
    <row r="3" spans="1:25">
      <c r="A3" t="s">
        <v>138</v>
      </c>
      <c r="B3">
        <v>500</v>
      </c>
      <c r="F3">
        <v>156</v>
      </c>
      <c r="K3" s="32">
        <v>0.84</v>
      </c>
      <c r="N3" s="28"/>
      <c r="W3" s="28">
        <v>0.39</v>
      </c>
    </row>
    <row r="4" spans="1:25">
      <c r="A4" t="s">
        <v>139</v>
      </c>
      <c r="B4">
        <v>510</v>
      </c>
      <c r="G4">
        <v>156</v>
      </c>
      <c r="N4" s="28">
        <v>0.256</v>
      </c>
      <c r="W4" s="28">
        <v>0.39</v>
      </c>
    </row>
    <row r="5" customFormat="1" spans="1:25">
      <c r="A5" t="s">
        <v>140</v>
      </c>
      <c r="B5">
        <v>510</v>
      </c>
      <c r="G5">
        <v>156</v>
      </c>
      <c r="N5" s="28">
        <v>0.448</v>
      </c>
      <c r="W5" s="28">
        <v>0.39</v>
      </c>
    </row>
    <row r="6" spans="1:25">
      <c r="A6" t="s">
        <v>141</v>
      </c>
      <c r="B6">
        <v>495</v>
      </c>
      <c r="C6">
        <v>132</v>
      </c>
      <c r="I6" s="28">
        <v>0.195</v>
      </c>
      <c r="S6" s="32">
        <v>0.56</v>
      </c>
      <c r="T6" s="32">
        <v>0.24</v>
      </c>
      <c r="V6" s="32">
        <v>0.24</v>
      </c>
    </row>
    <row r="7" customFormat="1" spans="1:25">
      <c r="A7" t="s">
        <v>142</v>
      </c>
      <c r="B7">
        <v>495</v>
      </c>
      <c r="C7">
        <v>132</v>
      </c>
      <c r="I7" s="28">
        <v>0.195</v>
      </c>
      <c r="S7" s="32">
        <v>0.98</v>
      </c>
      <c r="T7" s="32">
        <v>0.42</v>
      </c>
      <c r="V7" s="32">
        <v>0.42</v>
      </c>
      <c r="W7" s="28"/>
    </row>
    <row r="8" spans="1:25">
      <c r="A8" t="s">
        <v>143</v>
      </c>
      <c r="B8">
        <v>500</v>
      </c>
      <c r="H8">
        <v>156</v>
      </c>
      <c r="M8" s="28">
        <v>0.256</v>
      </c>
      <c r="W8" s="28">
        <v>0.39</v>
      </c>
    </row>
    <row r="9" spans="1:25">
      <c r="A9" t="s">
        <v>144</v>
      </c>
      <c r="B9">
        <v>500</v>
      </c>
      <c r="H9">
        <v>156</v>
      </c>
      <c r="M9" s="28">
        <v>0.448</v>
      </c>
      <c r="W9" s="28">
        <v>0.39</v>
      </c>
    </row>
    <row r="10" spans="1:25">
      <c r="A10" t="s">
        <v>145</v>
      </c>
      <c r="B10">
        <v>490</v>
      </c>
      <c r="H10">
        <v>156</v>
      </c>
      <c r="W10" s="28">
        <f>39%+16%</f>
        <v>0.55</v>
      </c>
    </row>
    <row r="11" spans="1:25">
      <c r="A11" t="s">
        <v>146</v>
      </c>
      <c r="B11">
        <v>490</v>
      </c>
      <c r="H11">
        <v>156</v>
      </c>
      <c r="W11" s="28">
        <f>39%+28%</f>
        <v>0.67</v>
      </c>
    </row>
    <row r="12" spans="1:25">
      <c r="A12" t="s">
        <v>147</v>
      </c>
      <c r="B12">
        <v>411</v>
      </c>
      <c r="F12">
        <v>124</v>
      </c>
      <c r="M12" s="28">
        <v>0.347</v>
      </c>
      <c r="W12" s="28">
        <v>0.14</v>
      </c>
    </row>
    <row r="13" customFormat="1" spans="1:25">
      <c r="A13" t="s">
        <v>148</v>
      </c>
      <c r="B13">
        <v>495</v>
      </c>
      <c r="G13">
        <v>156</v>
      </c>
      <c r="I13" s="32">
        <v>0.08</v>
      </c>
      <c r="N13" s="28">
        <v>0.433</v>
      </c>
      <c r="O13" s="28">
        <v>0.433</v>
      </c>
      <c r="P13" s="28">
        <v>0.433</v>
      </c>
      <c r="Q13" s="28">
        <v>0.433</v>
      </c>
      <c r="W13" s="28"/>
    </row>
    <row r="14" spans="1:25">
      <c r="A14" t="s">
        <v>149</v>
      </c>
      <c r="B14">
        <v>495</v>
      </c>
      <c r="G14">
        <v>156</v>
      </c>
      <c r="I14" s="32">
        <v>0.14</v>
      </c>
      <c r="N14" s="28">
        <v>0.433</v>
      </c>
      <c r="O14" s="28">
        <v>0.433</v>
      </c>
      <c r="P14" s="28">
        <v>0.433</v>
      </c>
      <c r="Q14" s="28">
        <v>0.433</v>
      </c>
    </row>
    <row r="15" spans="1:25">
      <c r="A15" t="s">
        <v>150</v>
      </c>
      <c r="B15">
        <v>485</v>
      </c>
      <c r="H15">
        <v>156</v>
      </c>
    </row>
    <row r="16" spans="1:25">
      <c r="A16" t="s">
        <v>151</v>
      </c>
      <c r="B16">
        <v>485</v>
      </c>
      <c r="H16">
        <v>156</v>
      </c>
    </row>
    <row r="17" spans="1:25">
      <c r="A17" t="s">
        <v>152</v>
      </c>
      <c r="B17">
        <v>490</v>
      </c>
      <c r="C17">
        <v>132</v>
      </c>
      <c r="K17" s="32">
        <v>0.78</v>
      </c>
      <c r="Y17" s="32">
        <v>0.16</v>
      </c>
    </row>
    <row r="18" spans="1:25">
      <c r="A18" t="s">
        <v>153</v>
      </c>
      <c r="B18">
        <v>490</v>
      </c>
      <c r="C18">
        <v>132</v>
      </c>
      <c r="K18" s="32">
        <v>0.78</v>
      </c>
      <c r="Y18" s="32">
        <v>0.28</v>
      </c>
    </row>
    <row r="19" spans="1:25">
      <c r="A19" t="s">
        <v>154</v>
      </c>
      <c r="B19">
        <v>500</v>
      </c>
      <c r="H19">
        <v>156</v>
      </c>
      <c r="L19" s="28">
        <v>0.464</v>
      </c>
      <c r="Q19" s="28">
        <v>0.256</v>
      </c>
    </row>
    <row r="20" spans="1:25">
      <c r="A20" t="s">
        <v>155</v>
      </c>
      <c r="B20">
        <v>500</v>
      </c>
      <c r="H20">
        <v>156</v>
      </c>
      <c r="L20" s="28">
        <v>0.464</v>
      </c>
      <c r="Q20" s="28">
        <v>0.448</v>
      </c>
    </row>
    <row r="21" spans="1:25">
      <c r="A21" t="s">
        <v>156</v>
      </c>
      <c r="B21">
        <v>495</v>
      </c>
      <c r="G21">
        <v>156</v>
      </c>
      <c r="Y21" s="28">
        <v>0.256</v>
      </c>
    </row>
    <row r="22" spans="1:25">
      <c r="A22" t="s">
        <v>157</v>
      </c>
      <c r="B22">
        <v>495</v>
      </c>
      <c r="G22">
        <v>156</v>
      </c>
      <c r="Y22" s="28">
        <v>0.448</v>
      </c>
    </row>
    <row r="23" spans="1:25">
      <c r="A23" t="s">
        <v>158</v>
      </c>
      <c r="B23">
        <v>411</v>
      </c>
      <c r="G23">
        <v>124</v>
      </c>
      <c r="Y23" s="28">
        <v>0.312</v>
      </c>
    </row>
    <row r="24" spans="1:25">
      <c r="A24" t="s">
        <v>159</v>
      </c>
      <c r="B24">
        <v>500</v>
      </c>
      <c r="C24">
        <v>132</v>
      </c>
      <c r="M24" s="32">
        <v>0.16</v>
      </c>
      <c r="W24" s="28">
        <v>0.39</v>
      </c>
    </row>
    <row r="25" spans="1:25">
      <c r="A25" t="s">
        <v>160</v>
      </c>
      <c r="B25">
        <v>500</v>
      </c>
      <c r="C25">
        <v>132</v>
      </c>
      <c r="M25" s="32">
        <v>0.28</v>
      </c>
      <c r="W25" s="28">
        <v>0.39</v>
      </c>
    </row>
    <row r="26" spans="1:25">
      <c r="A26" t="s">
        <v>161</v>
      </c>
      <c r="B26">
        <v>505</v>
      </c>
      <c r="E26">
        <v>156</v>
      </c>
      <c r="T26" s="32">
        <v>0.32</v>
      </c>
      <c r="U26" s="32">
        <v>0.32</v>
      </c>
      <c r="V26" s="32">
        <v>0.32</v>
      </c>
      <c r="W26" s="28">
        <v>0.39</v>
      </c>
    </row>
    <row r="27" spans="1:25">
      <c r="A27" t="s">
        <v>162</v>
      </c>
      <c r="B27">
        <v>505</v>
      </c>
      <c r="E27">
        <v>156</v>
      </c>
      <c r="T27" s="32">
        <v>0.56</v>
      </c>
      <c r="U27" s="32">
        <v>0.56</v>
      </c>
      <c r="V27" s="32">
        <v>0.56</v>
      </c>
      <c r="W27" s="28">
        <v>0.39</v>
      </c>
    </row>
    <row r="28" spans="1:25">
      <c r="A28" t="s">
        <v>163</v>
      </c>
      <c r="B28">
        <v>495</v>
      </c>
      <c r="F28">
        <v>156</v>
      </c>
      <c r="M28" s="28">
        <v>0.433</v>
      </c>
      <c r="W28" s="28">
        <v>0.16</v>
      </c>
    </row>
    <row r="29" spans="1:25">
      <c r="A29" t="s">
        <v>164</v>
      </c>
      <c r="B29">
        <v>495</v>
      </c>
      <c r="F29">
        <v>156</v>
      </c>
      <c r="M29" s="28">
        <v>0.433</v>
      </c>
      <c r="W29" s="28">
        <v>0.28</v>
      </c>
    </row>
    <row r="30" spans="1:25">
      <c r="A30" t="s">
        <v>165</v>
      </c>
      <c r="B30">
        <v>500</v>
      </c>
      <c r="F30">
        <v>156</v>
      </c>
      <c r="M30" s="28">
        <v>0.433</v>
      </c>
    </row>
    <row r="31" spans="1:25">
      <c r="A31" t="s">
        <v>166</v>
      </c>
      <c r="B31">
        <v>500</v>
      </c>
      <c r="F31">
        <v>156</v>
      </c>
      <c r="M31" s="28">
        <v>0.433</v>
      </c>
    </row>
    <row r="32" spans="1:25">
      <c r="A32" t="s">
        <v>167</v>
      </c>
      <c r="B32">
        <v>505</v>
      </c>
      <c r="G32">
        <v>156</v>
      </c>
      <c r="I32" s="28">
        <v>0.195</v>
      </c>
      <c r="P32" s="28">
        <v>0.256</v>
      </c>
    </row>
    <row r="33" spans="1:23">
      <c r="A33" t="s">
        <v>168</v>
      </c>
      <c r="B33">
        <v>505</v>
      </c>
      <c r="G33">
        <v>156</v>
      </c>
      <c r="I33" s="28">
        <v>0.195</v>
      </c>
      <c r="P33" s="28">
        <v>0.448</v>
      </c>
    </row>
    <row r="34" spans="1:23">
      <c r="A34" t="s">
        <v>169</v>
      </c>
      <c r="B34">
        <v>505</v>
      </c>
      <c r="F34">
        <v>156</v>
      </c>
      <c r="P34" s="28">
        <v>0.256</v>
      </c>
      <c r="W34" s="28">
        <v>0.39</v>
      </c>
    </row>
    <row r="35" spans="1:23">
      <c r="A35" t="s">
        <v>170</v>
      </c>
      <c r="B35">
        <v>505</v>
      </c>
      <c r="F35">
        <v>156</v>
      </c>
      <c r="P35" s="28">
        <v>0.448</v>
      </c>
      <c r="W35" s="28">
        <v>0.39</v>
      </c>
    </row>
    <row r="36" spans="1:23">
      <c r="A36" t="s">
        <v>171</v>
      </c>
      <c r="B36">
        <v>505</v>
      </c>
      <c r="F36">
        <v>156</v>
      </c>
      <c r="I36" s="28">
        <v>0.195</v>
      </c>
      <c r="W36" s="28">
        <v>0.256</v>
      </c>
    </row>
    <row r="37" customFormat="1" spans="1:23">
      <c r="A37" t="s">
        <v>172</v>
      </c>
      <c r="B37">
        <v>505</v>
      </c>
      <c r="F37">
        <v>156</v>
      </c>
      <c r="I37" s="28">
        <v>0.195</v>
      </c>
      <c r="W37" s="28">
        <v>0.448</v>
      </c>
    </row>
    <row r="38" spans="1:23">
      <c r="A38" t="s">
        <v>173</v>
      </c>
      <c r="B38">
        <v>490</v>
      </c>
      <c r="F38">
        <v>156</v>
      </c>
      <c r="I38" s="28">
        <v>0.195</v>
      </c>
      <c r="W38" s="28">
        <v>0.112</v>
      </c>
    </row>
    <row r="39" customFormat="1" spans="1:23">
      <c r="A39" t="s">
        <v>174</v>
      </c>
      <c r="B39">
        <v>490</v>
      </c>
      <c r="F39">
        <v>156</v>
      </c>
      <c r="I39" s="28">
        <v>0.195</v>
      </c>
      <c r="W39" s="28">
        <v>0.196</v>
      </c>
    </row>
    <row r="40" spans="1:23">
      <c r="A40" t="s">
        <v>175</v>
      </c>
      <c r="B40">
        <v>510</v>
      </c>
      <c r="H40">
        <v>156</v>
      </c>
      <c r="O40" s="28">
        <v>0.256</v>
      </c>
      <c r="W40" s="28">
        <v>0.39</v>
      </c>
    </row>
    <row r="41" customFormat="1" spans="1:23">
      <c r="A41" t="s">
        <v>176</v>
      </c>
      <c r="B41">
        <v>510</v>
      </c>
      <c r="H41">
        <v>156</v>
      </c>
      <c r="O41" s="28">
        <v>0.448</v>
      </c>
      <c r="W41" s="28">
        <v>0.39</v>
      </c>
    </row>
    <row r="42" spans="1:23">
      <c r="A42" t="s">
        <v>47</v>
      </c>
      <c r="B42">
        <v>510</v>
      </c>
      <c r="E42">
        <v>156</v>
      </c>
      <c r="M42" s="28">
        <v>0.256</v>
      </c>
      <c r="W42" s="28">
        <v>0.39</v>
      </c>
    </row>
    <row r="43" spans="1:23">
      <c r="A43" t="s">
        <v>177</v>
      </c>
      <c r="B43">
        <v>510</v>
      </c>
      <c r="E43">
        <v>156</v>
      </c>
      <c r="M43" s="28">
        <v>0.448</v>
      </c>
      <c r="W43" s="28">
        <v>0.39</v>
      </c>
    </row>
    <row r="44" spans="1:23">
      <c r="A44" t="s">
        <v>89</v>
      </c>
      <c r="B44">
        <v>490</v>
      </c>
      <c r="E44">
        <v>156</v>
      </c>
      <c r="K44" s="32">
        <v>0.78</v>
      </c>
      <c r="M44" s="28">
        <v>0.196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workbookViewId="0">
      <pane ySplit="1" topLeftCell="A50" activePane="bottomLeft" state="frozen"/>
      <selection/>
      <selection pane="bottomLeft" activeCell="L83" sqref="L83"/>
    </sheetView>
  </sheetViews>
  <sheetFormatPr defaultColWidth="9" defaultRowHeight="13.5"/>
  <cols>
    <col min="1" max="1" width="21" customWidth="1"/>
    <col min="2" max="2" width="12.875" customWidth="1"/>
    <col min="9" max="9" width="11.125" style="28" customWidth="1"/>
    <col min="10" max="18" width="9" style="28"/>
    <col min="19" max="19" width="10.375" style="28" customWidth="1"/>
    <col min="20" max="21" width="9" style="28"/>
  </cols>
  <sheetData>
    <row r="1" spans="1:23">
      <c r="B1" t="s">
        <v>90</v>
      </c>
      <c r="C1" t="s">
        <v>45</v>
      </c>
      <c r="D1" t="s">
        <v>48</v>
      </c>
      <c r="E1" t="s">
        <v>52</v>
      </c>
      <c r="F1" t="s">
        <v>54</v>
      </c>
      <c r="G1" t="s">
        <v>27</v>
      </c>
      <c r="H1" t="s">
        <v>4</v>
      </c>
      <c r="I1" s="28" t="s">
        <v>91</v>
      </c>
      <c r="J1" s="28" t="s">
        <v>92</v>
      </c>
      <c r="K1" s="28" t="s">
        <v>73</v>
      </c>
      <c r="L1" s="28" t="s">
        <v>75</v>
      </c>
      <c r="M1" s="28" t="s">
        <v>77</v>
      </c>
      <c r="N1" s="28" t="s">
        <v>78</v>
      </c>
      <c r="O1" s="28" t="s">
        <v>79</v>
      </c>
      <c r="P1" s="28" t="s">
        <v>81</v>
      </c>
      <c r="Q1" s="28" t="s">
        <v>80</v>
      </c>
      <c r="R1" s="28" t="s">
        <v>82</v>
      </c>
      <c r="S1" s="28" t="s">
        <v>83</v>
      </c>
      <c r="T1" s="28" t="s">
        <v>84</v>
      </c>
      <c r="U1" s="28" t="s">
        <v>61</v>
      </c>
      <c r="V1" t="s">
        <v>93</v>
      </c>
      <c r="W1" t="s">
        <v>94</v>
      </c>
    </row>
    <row r="2" spans="1:23">
      <c r="A2" t="s">
        <v>178</v>
      </c>
      <c r="C2">
        <v>58</v>
      </c>
      <c r="D2">
        <v>87</v>
      </c>
      <c r="I2" s="28">
        <v>0.207</v>
      </c>
    </row>
    <row r="3" spans="1:23">
      <c r="A3" t="s">
        <v>179</v>
      </c>
      <c r="C3">
        <v>75</v>
      </c>
      <c r="D3">
        <v>113</v>
      </c>
      <c r="I3" s="28">
        <v>0.2691</v>
      </c>
    </row>
    <row r="4" spans="1:23">
      <c r="A4" t="s">
        <v>180</v>
      </c>
      <c r="C4">
        <v>87</v>
      </c>
      <c r="D4">
        <v>58</v>
      </c>
      <c r="K4" s="28">
        <v>0.115</v>
      </c>
    </row>
    <row r="5" spans="1:23">
      <c r="A5" t="s">
        <v>181</v>
      </c>
      <c r="C5">
        <v>113</v>
      </c>
      <c r="D5">
        <v>75</v>
      </c>
      <c r="K5" s="28">
        <v>0.1495</v>
      </c>
    </row>
    <row r="6" spans="1:23">
      <c r="A6" t="s">
        <v>182</v>
      </c>
      <c r="C6">
        <v>87</v>
      </c>
      <c r="F6">
        <v>58</v>
      </c>
      <c r="J6" s="28">
        <v>0.123214285714286</v>
      </c>
    </row>
    <row r="7" spans="1:23">
      <c r="A7" t="s">
        <v>183</v>
      </c>
      <c r="C7">
        <v>113</v>
      </c>
      <c r="F7">
        <v>75</v>
      </c>
      <c r="J7" s="28">
        <v>0.16017857</v>
      </c>
    </row>
    <row r="8" spans="1:23">
      <c r="A8" t="s">
        <v>184</v>
      </c>
      <c r="C8">
        <v>87</v>
      </c>
      <c r="F8">
        <v>58</v>
      </c>
      <c r="K8" s="28">
        <v>0.115</v>
      </c>
    </row>
    <row r="9" spans="1:23">
      <c r="A9" t="s">
        <v>185</v>
      </c>
      <c r="C9">
        <v>113</v>
      </c>
      <c r="F9">
        <v>75</v>
      </c>
      <c r="K9" s="28">
        <v>0.1495</v>
      </c>
    </row>
    <row r="10" spans="1:23">
      <c r="A10" t="s">
        <v>186</v>
      </c>
      <c r="C10">
        <v>58</v>
      </c>
      <c r="E10">
        <v>87</v>
      </c>
      <c r="J10" s="28">
        <v>0.123214285714286</v>
      </c>
    </row>
    <row r="11" spans="1:23">
      <c r="A11" t="s">
        <v>187</v>
      </c>
      <c r="C11">
        <v>75</v>
      </c>
      <c r="E11">
        <v>113</v>
      </c>
      <c r="J11" s="28">
        <v>0.16017857</v>
      </c>
    </row>
    <row r="12" spans="1:23">
      <c r="A12" t="s">
        <v>188</v>
      </c>
      <c r="D12">
        <v>58</v>
      </c>
      <c r="E12">
        <v>87</v>
      </c>
      <c r="P12" s="28">
        <v>0.138</v>
      </c>
    </row>
    <row r="13" spans="1:23">
      <c r="A13" t="s">
        <v>189</v>
      </c>
      <c r="D13">
        <v>75</v>
      </c>
      <c r="E13">
        <v>113</v>
      </c>
      <c r="P13" s="28">
        <v>0.1794</v>
      </c>
    </row>
    <row r="14" spans="1:23">
      <c r="A14" t="s">
        <v>190</v>
      </c>
      <c r="E14">
        <v>87</v>
      </c>
      <c r="F14">
        <v>58</v>
      </c>
      <c r="G14" s="28">
        <v>0.05175</v>
      </c>
    </row>
    <row r="15" spans="1:23">
      <c r="A15" t="s">
        <v>191</v>
      </c>
      <c r="E15">
        <v>113</v>
      </c>
      <c r="F15">
        <v>75</v>
      </c>
      <c r="G15" s="28">
        <v>0.067275</v>
      </c>
    </row>
    <row r="16" spans="1:23">
      <c r="A16" t="s">
        <v>192</v>
      </c>
      <c r="D16">
        <v>58</v>
      </c>
      <c r="F16">
        <v>87</v>
      </c>
      <c r="G16" s="28"/>
      <c r="R16" s="28">
        <v>0.207</v>
      </c>
    </row>
    <row r="17" spans="1:23">
      <c r="A17" t="s">
        <v>193</v>
      </c>
      <c r="D17">
        <v>75</v>
      </c>
      <c r="F17">
        <v>113</v>
      </c>
      <c r="G17" s="28"/>
      <c r="R17" s="28">
        <v>0.2691</v>
      </c>
    </row>
    <row r="18" spans="1:23">
      <c r="A18" t="s">
        <v>194</v>
      </c>
      <c r="C18">
        <v>58</v>
      </c>
      <c r="D18">
        <v>87</v>
      </c>
      <c r="G18" s="28"/>
      <c r="I18" s="28">
        <v>0.207</v>
      </c>
    </row>
    <row r="19" spans="1:23">
      <c r="A19" t="s">
        <v>195</v>
      </c>
      <c r="C19">
        <v>75</v>
      </c>
      <c r="D19">
        <v>113</v>
      </c>
      <c r="G19" s="28"/>
      <c r="I19" s="28">
        <v>0.2691</v>
      </c>
    </row>
    <row r="20" spans="1:23">
      <c r="A20" t="s">
        <v>196</v>
      </c>
      <c r="D20">
        <v>87</v>
      </c>
      <c r="E20">
        <v>58</v>
      </c>
      <c r="G20" s="28"/>
      <c r="J20" s="28">
        <v>0.123214285714286</v>
      </c>
    </row>
    <row r="21" spans="1:23">
      <c r="A21" t="s">
        <v>197</v>
      </c>
      <c r="D21">
        <v>113</v>
      </c>
      <c r="E21">
        <v>75</v>
      </c>
      <c r="G21" s="28"/>
      <c r="J21" s="28">
        <v>0.16017857</v>
      </c>
    </row>
    <row r="22" spans="1:23">
      <c r="A22" t="s">
        <v>198</v>
      </c>
      <c r="C22">
        <v>87</v>
      </c>
      <c r="E22">
        <v>58</v>
      </c>
      <c r="G22" s="28"/>
      <c r="T22" s="28">
        <v>0.25875</v>
      </c>
    </row>
    <row r="23" spans="1:23">
      <c r="A23" t="s">
        <v>199</v>
      </c>
      <c r="C23">
        <v>113</v>
      </c>
      <c r="E23">
        <v>75</v>
      </c>
      <c r="G23" s="28"/>
      <c r="T23" s="28">
        <v>0.336375</v>
      </c>
    </row>
    <row r="24" spans="1:23">
      <c r="A24" t="s">
        <v>200</v>
      </c>
      <c r="C24">
        <v>87</v>
      </c>
      <c r="D24">
        <v>58</v>
      </c>
      <c r="R24" s="28">
        <v>0.207</v>
      </c>
    </row>
    <row r="25" spans="1:23">
      <c r="A25" t="s">
        <v>201</v>
      </c>
      <c r="C25">
        <v>113</v>
      </c>
      <c r="D25">
        <v>75</v>
      </c>
      <c r="R25" s="28">
        <v>0.2691</v>
      </c>
    </row>
    <row r="26" spans="1:23">
      <c r="A26" t="s">
        <v>202</v>
      </c>
      <c r="D26">
        <v>87</v>
      </c>
      <c r="E26">
        <v>58</v>
      </c>
      <c r="R26" s="28">
        <v>0.207</v>
      </c>
    </row>
    <row r="27" spans="1:23">
      <c r="A27" t="s">
        <v>203</v>
      </c>
      <c r="D27">
        <v>113</v>
      </c>
      <c r="E27">
        <v>75</v>
      </c>
      <c r="R27" s="28">
        <v>0.2691</v>
      </c>
    </row>
    <row r="28" spans="1:23">
      <c r="A28" t="s">
        <v>204</v>
      </c>
      <c r="D28">
        <v>87</v>
      </c>
      <c r="E28">
        <v>58</v>
      </c>
      <c r="W28" s="28">
        <v>0.103508917505489</v>
      </c>
    </row>
    <row r="29" spans="1:23">
      <c r="A29" t="s">
        <v>205</v>
      </c>
      <c r="D29">
        <v>113</v>
      </c>
      <c r="E29">
        <v>75</v>
      </c>
      <c r="W29" s="28">
        <v>0.1345616</v>
      </c>
    </row>
    <row r="30" spans="1:23">
      <c r="A30" t="s">
        <v>206</v>
      </c>
      <c r="D30">
        <v>58</v>
      </c>
      <c r="E30">
        <v>87</v>
      </c>
      <c r="J30" s="28">
        <v>0.123214285714286</v>
      </c>
    </row>
    <row r="31" spans="1:23">
      <c r="A31" t="s">
        <v>207</v>
      </c>
      <c r="D31">
        <v>75</v>
      </c>
      <c r="E31">
        <v>113</v>
      </c>
      <c r="J31" s="28">
        <v>0.16017857</v>
      </c>
    </row>
    <row r="32" spans="1:23">
      <c r="A32" t="s">
        <v>208</v>
      </c>
      <c r="E32">
        <v>87</v>
      </c>
      <c r="F32">
        <v>58</v>
      </c>
      <c r="I32" s="28">
        <v>0.207</v>
      </c>
    </row>
    <row r="33" spans="1:20">
      <c r="A33" t="s">
        <v>209</v>
      </c>
      <c r="E33">
        <v>113</v>
      </c>
      <c r="F33">
        <v>75</v>
      </c>
      <c r="I33" s="28">
        <v>0.2691</v>
      </c>
    </row>
    <row r="34" spans="1:20">
      <c r="A34" t="s">
        <v>210</v>
      </c>
      <c r="C34">
        <v>58</v>
      </c>
      <c r="F34">
        <v>87</v>
      </c>
      <c r="R34" s="28">
        <v>0.138</v>
      </c>
      <c r="S34" s="28">
        <v>0.138</v>
      </c>
      <c r="T34" s="28">
        <v>0.138</v>
      </c>
    </row>
    <row r="35" spans="1:20">
      <c r="A35" t="s">
        <v>211</v>
      </c>
      <c r="C35">
        <v>75</v>
      </c>
      <c r="F35">
        <v>113</v>
      </c>
      <c r="R35" s="28">
        <v>0.1794</v>
      </c>
      <c r="S35" s="28">
        <v>0.1794</v>
      </c>
      <c r="T35" s="28">
        <v>0.1794</v>
      </c>
    </row>
    <row r="36" spans="1:20">
      <c r="A36" t="s">
        <v>212</v>
      </c>
      <c r="C36">
        <v>87</v>
      </c>
      <c r="F36">
        <v>58</v>
      </c>
      <c r="K36" s="28">
        <v>0.115</v>
      </c>
    </row>
    <row r="37" spans="1:20">
      <c r="A37" t="s">
        <v>213</v>
      </c>
      <c r="C37">
        <v>113</v>
      </c>
      <c r="F37">
        <v>75</v>
      </c>
      <c r="K37" s="28">
        <v>0.1495</v>
      </c>
    </row>
    <row r="38" spans="1:20">
      <c r="A38" t="s">
        <v>214</v>
      </c>
      <c r="C38">
        <v>58</v>
      </c>
      <c r="D38">
        <v>87</v>
      </c>
      <c r="J38" s="28">
        <v>0.123214285714286</v>
      </c>
    </row>
    <row r="39" spans="1:20">
      <c r="A39" t="s">
        <v>215</v>
      </c>
      <c r="C39">
        <v>75</v>
      </c>
      <c r="D39">
        <v>113</v>
      </c>
      <c r="J39" s="28">
        <v>0.16017857</v>
      </c>
    </row>
    <row r="40" spans="1:20">
      <c r="A40" t="s">
        <v>216</v>
      </c>
      <c r="D40">
        <v>87</v>
      </c>
      <c r="E40">
        <v>58</v>
      </c>
      <c r="S40" s="28">
        <v>0.207</v>
      </c>
    </row>
    <row r="41" spans="1:20">
      <c r="A41" t="s">
        <v>217</v>
      </c>
      <c r="D41">
        <v>113</v>
      </c>
      <c r="E41">
        <v>75</v>
      </c>
      <c r="S41" s="28">
        <v>0.2691</v>
      </c>
    </row>
    <row r="42" spans="1:20">
      <c r="A42" t="s">
        <v>218</v>
      </c>
      <c r="E42">
        <v>58</v>
      </c>
      <c r="F42">
        <v>87</v>
      </c>
    </row>
    <row r="43" spans="1:20">
      <c r="A43" t="s">
        <v>219</v>
      </c>
      <c r="E43">
        <v>75</v>
      </c>
      <c r="F43">
        <v>113</v>
      </c>
    </row>
    <row r="44" spans="1:20">
      <c r="A44" t="s">
        <v>220</v>
      </c>
      <c r="C44">
        <v>87</v>
      </c>
      <c r="F44">
        <v>58</v>
      </c>
    </row>
    <row r="45" spans="1:20">
      <c r="A45" t="s">
        <v>220</v>
      </c>
      <c r="C45">
        <v>113</v>
      </c>
      <c r="F45">
        <v>75</v>
      </c>
    </row>
    <row r="46" spans="1:20">
      <c r="A46" t="s">
        <v>221</v>
      </c>
      <c r="D46">
        <v>87</v>
      </c>
      <c r="E46">
        <v>58</v>
      </c>
      <c r="J46" s="28">
        <v>0.123214285714286</v>
      </c>
    </row>
    <row r="47" spans="1:20">
      <c r="A47" t="s">
        <v>222</v>
      </c>
      <c r="D47">
        <v>113</v>
      </c>
      <c r="E47">
        <v>75</v>
      </c>
      <c r="J47" s="28">
        <v>0.16017857</v>
      </c>
    </row>
    <row r="48" spans="1:20">
      <c r="A48" t="s">
        <v>223</v>
      </c>
      <c r="C48">
        <v>58</v>
      </c>
      <c r="D48">
        <v>87</v>
      </c>
      <c r="S48" s="28">
        <v>0.207</v>
      </c>
    </row>
    <row r="49" spans="1:19">
      <c r="A49" t="s">
        <v>224</v>
      </c>
      <c r="C49">
        <v>75</v>
      </c>
      <c r="D49">
        <v>113</v>
      </c>
      <c r="S49" s="28">
        <v>0.2691</v>
      </c>
    </row>
    <row r="50" spans="1:19">
      <c r="A50" t="s">
        <v>225</v>
      </c>
      <c r="C50">
        <v>58</v>
      </c>
      <c r="D50">
        <v>87</v>
      </c>
      <c r="M50" s="28">
        <v>0.115</v>
      </c>
      <c r="N50" s="28">
        <v>0.115</v>
      </c>
    </row>
    <row r="51" spans="1:19">
      <c r="A51" t="s">
        <v>226</v>
      </c>
      <c r="C51">
        <v>75</v>
      </c>
      <c r="D51">
        <v>113</v>
      </c>
      <c r="M51" s="28">
        <v>0.1495</v>
      </c>
      <c r="N51" s="28">
        <v>0.1495</v>
      </c>
    </row>
    <row r="52" spans="1:19">
      <c r="A52" t="s">
        <v>227</v>
      </c>
      <c r="C52">
        <v>58</v>
      </c>
      <c r="F52">
        <v>87</v>
      </c>
      <c r="S52" s="28">
        <v>0.207</v>
      </c>
    </row>
    <row r="53" spans="1:19">
      <c r="A53" t="s">
        <v>228</v>
      </c>
      <c r="C53">
        <v>75</v>
      </c>
      <c r="F53">
        <v>113</v>
      </c>
      <c r="S53" s="28">
        <v>0.2691</v>
      </c>
    </row>
    <row r="54" spans="1:19">
      <c r="A54" t="s">
        <v>229</v>
      </c>
      <c r="D54">
        <v>58</v>
      </c>
      <c r="F54">
        <v>87</v>
      </c>
      <c r="J54" s="28">
        <v>0.123214285714286</v>
      </c>
    </row>
    <row r="55" spans="1:19">
      <c r="A55" t="s">
        <v>230</v>
      </c>
      <c r="D55">
        <v>75</v>
      </c>
      <c r="F55">
        <v>113</v>
      </c>
      <c r="J55" s="28">
        <v>0.16017857</v>
      </c>
    </row>
    <row r="56" spans="1:19">
      <c r="A56" t="s">
        <v>231</v>
      </c>
      <c r="C56">
        <v>87</v>
      </c>
      <c r="F56">
        <v>58</v>
      </c>
      <c r="Q56" s="28">
        <v>0.207</v>
      </c>
    </row>
    <row r="57" spans="1:19">
      <c r="A57" t="s">
        <v>232</v>
      </c>
      <c r="C57">
        <v>113</v>
      </c>
      <c r="F57">
        <v>75</v>
      </c>
      <c r="Q57" s="28">
        <v>0.2691</v>
      </c>
    </row>
    <row r="58" spans="1:19">
      <c r="A58" t="s">
        <v>233</v>
      </c>
      <c r="C58">
        <v>87</v>
      </c>
      <c r="D58">
        <v>58</v>
      </c>
      <c r="L58" s="28">
        <v>0.115</v>
      </c>
      <c r="O58" s="28">
        <v>0.115</v>
      </c>
    </row>
    <row r="59" spans="1:19">
      <c r="A59" t="s">
        <v>234</v>
      </c>
      <c r="C59">
        <v>113</v>
      </c>
      <c r="D59">
        <v>75</v>
      </c>
      <c r="L59" s="28">
        <v>0.1495</v>
      </c>
      <c r="O59" s="28">
        <v>0.1495</v>
      </c>
    </row>
    <row r="60" spans="1:19">
      <c r="A60" t="s">
        <v>235</v>
      </c>
      <c r="E60">
        <v>87</v>
      </c>
      <c r="F60">
        <v>58</v>
      </c>
      <c r="L60" s="28">
        <v>0.115</v>
      </c>
      <c r="O60" s="28">
        <v>0.115</v>
      </c>
    </row>
    <row r="61" spans="1:19">
      <c r="A61" t="s">
        <v>236</v>
      </c>
      <c r="E61">
        <v>113</v>
      </c>
      <c r="F61">
        <v>75</v>
      </c>
      <c r="L61" s="28">
        <v>0.1495</v>
      </c>
      <c r="O61" s="28">
        <v>0.1495</v>
      </c>
    </row>
    <row r="62" spans="1:19">
      <c r="A62" t="s">
        <v>237</v>
      </c>
      <c r="E62">
        <v>58</v>
      </c>
      <c r="F62">
        <v>87</v>
      </c>
      <c r="I62" s="28">
        <v>0.207</v>
      </c>
    </row>
    <row r="63" spans="1:19">
      <c r="A63" t="s">
        <v>238</v>
      </c>
      <c r="E63">
        <v>75</v>
      </c>
      <c r="F63">
        <v>113</v>
      </c>
      <c r="I63" s="28">
        <v>0.2691</v>
      </c>
    </row>
    <row r="64" spans="1:19">
      <c r="A64" t="s">
        <v>239</v>
      </c>
      <c r="D64">
        <v>115</v>
      </c>
      <c r="P64" s="28">
        <v>0.144</v>
      </c>
    </row>
    <row r="65" spans="1:16">
      <c r="A65" t="s">
        <v>240</v>
      </c>
      <c r="D65">
        <v>149</v>
      </c>
      <c r="P65" s="28">
        <v>0.1872</v>
      </c>
    </row>
    <row r="66" spans="1:16">
      <c r="A66" t="s">
        <v>241</v>
      </c>
      <c r="E66">
        <v>115</v>
      </c>
      <c r="J66" s="28">
        <v>0.128571428571427</v>
      </c>
    </row>
    <row r="67" spans="1:16">
      <c r="A67" t="s">
        <v>242</v>
      </c>
      <c r="E67">
        <v>149</v>
      </c>
      <c r="J67" s="28">
        <v>0.16714285</v>
      </c>
    </row>
    <row r="68" spans="1:16">
      <c r="A68" t="s">
        <v>243</v>
      </c>
      <c r="E68">
        <v>58</v>
      </c>
      <c r="F68">
        <v>87</v>
      </c>
      <c r="M68" s="28">
        <v>0.115</v>
      </c>
      <c r="N68" s="28">
        <v>0.115</v>
      </c>
    </row>
    <row r="69" spans="1:16">
      <c r="A69" t="s">
        <v>244</v>
      </c>
      <c r="E69">
        <v>75</v>
      </c>
      <c r="F69">
        <v>113</v>
      </c>
      <c r="M69" s="28">
        <v>0.1495</v>
      </c>
      <c r="N69" s="28">
        <v>0.1495</v>
      </c>
    </row>
    <row r="70" spans="1:16">
      <c r="A70" t="s">
        <v>245</v>
      </c>
      <c r="C70">
        <v>58</v>
      </c>
      <c r="D70">
        <v>87</v>
      </c>
      <c r="J70" s="28">
        <v>0.128571428571427</v>
      </c>
    </row>
    <row r="71" spans="1:16">
      <c r="A71" t="s">
        <v>246</v>
      </c>
      <c r="C71">
        <v>75</v>
      </c>
      <c r="D71">
        <v>113</v>
      </c>
      <c r="J71" s="28">
        <v>0.16714285</v>
      </c>
    </row>
    <row r="72" spans="1:16">
      <c r="A72" t="s">
        <v>247</v>
      </c>
      <c r="E72">
        <v>87</v>
      </c>
      <c r="F72">
        <v>58</v>
      </c>
      <c r="I72" s="28">
        <v>0.207</v>
      </c>
    </row>
    <row r="73" spans="1:16">
      <c r="A73" t="s">
        <v>248</v>
      </c>
      <c r="E73">
        <v>113</v>
      </c>
      <c r="F73">
        <v>75</v>
      </c>
      <c r="I73" s="28">
        <v>0.2691</v>
      </c>
    </row>
    <row r="74" spans="1:16">
      <c r="A74" t="s">
        <v>249</v>
      </c>
      <c r="C74">
        <v>87</v>
      </c>
      <c r="F74">
        <v>58</v>
      </c>
      <c r="K74" s="28">
        <v>0.115</v>
      </c>
    </row>
    <row r="75" spans="1:16">
      <c r="A75" t="s">
        <v>53</v>
      </c>
      <c r="C75">
        <v>113</v>
      </c>
      <c r="F75">
        <v>75</v>
      </c>
      <c r="K75" s="28">
        <v>0.1495</v>
      </c>
    </row>
    <row r="76" spans="1:16">
      <c r="A76" t="s">
        <v>250</v>
      </c>
      <c r="C76">
        <v>58</v>
      </c>
      <c r="D76">
        <v>87</v>
      </c>
      <c r="I76" s="28">
        <v>0.207</v>
      </c>
    </row>
    <row r="77" spans="1:16">
      <c r="A77" t="s">
        <v>251</v>
      </c>
      <c r="C77">
        <v>75</v>
      </c>
      <c r="D77">
        <v>113</v>
      </c>
      <c r="I77" s="28">
        <v>0.2691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workbookViewId="0">
      <pane ySplit="1" topLeftCell="A14" activePane="bottomLeft" state="frozen"/>
      <selection/>
      <selection pane="bottomLeft" activeCell="I73" sqref="I73"/>
    </sheetView>
  </sheetViews>
  <sheetFormatPr defaultColWidth="9" defaultRowHeight="13.5"/>
  <cols>
    <col min="1" max="1" width="23.375" customWidth="1"/>
    <col min="2" max="2" width="12.875" customWidth="1"/>
    <col min="9" max="9" width="11.125" customWidth="1"/>
    <col min="19" max="19" width="10.375" customWidth="1"/>
  </cols>
  <sheetData>
    <row r="1" spans="1:23">
      <c r="B1" t="s">
        <v>90</v>
      </c>
      <c r="C1" t="s">
        <v>45</v>
      </c>
      <c r="D1" t="s">
        <v>48</v>
      </c>
      <c r="E1" t="s">
        <v>52</v>
      </c>
      <c r="F1" t="s">
        <v>54</v>
      </c>
      <c r="G1" t="s">
        <v>27</v>
      </c>
      <c r="H1" t="s">
        <v>4</v>
      </c>
      <c r="I1" t="s">
        <v>91</v>
      </c>
      <c r="J1" t="s">
        <v>92</v>
      </c>
      <c r="K1" t="s">
        <v>73</v>
      </c>
      <c r="L1" t="s">
        <v>75</v>
      </c>
      <c r="M1" t="s">
        <v>77</v>
      </c>
      <c r="N1" t="s">
        <v>78</v>
      </c>
      <c r="O1" t="s">
        <v>79</v>
      </c>
      <c r="P1" t="s">
        <v>81</v>
      </c>
      <c r="Q1" t="s">
        <v>80</v>
      </c>
      <c r="R1" t="s">
        <v>82</v>
      </c>
      <c r="S1" t="s">
        <v>83</v>
      </c>
      <c r="T1" t="s">
        <v>84</v>
      </c>
      <c r="U1" t="s">
        <v>61</v>
      </c>
      <c r="V1" t="s">
        <v>93</v>
      </c>
      <c r="W1" t="s">
        <v>94</v>
      </c>
    </row>
    <row r="2" spans="1:23">
      <c r="A2" t="s">
        <v>252</v>
      </c>
      <c r="C2">
        <v>43</v>
      </c>
      <c r="D2">
        <v>65</v>
      </c>
      <c r="I2" s="28">
        <v>0.345</v>
      </c>
    </row>
    <row r="3" spans="1:23">
      <c r="A3" t="s">
        <v>253</v>
      </c>
      <c r="C3">
        <v>55</v>
      </c>
      <c r="D3">
        <v>84</v>
      </c>
      <c r="I3" s="28">
        <v>0.4485</v>
      </c>
    </row>
    <row r="4" spans="1:23">
      <c r="A4" t="s">
        <v>254</v>
      </c>
      <c r="D4">
        <v>43</v>
      </c>
      <c r="F4">
        <v>65</v>
      </c>
      <c r="L4" s="28"/>
      <c r="O4" s="28"/>
      <c r="R4" s="32">
        <v>0.23</v>
      </c>
      <c r="S4" s="32">
        <v>0.23</v>
      </c>
      <c r="T4" s="32">
        <v>0.23</v>
      </c>
    </row>
    <row r="5" spans="1:23">
      <c r="A5" t="s">
        <v>255</v>
      </c>
      <c r="D5">
        <v>55</v>
      </c>
      <c r="F5">
        <v>84</v>
      </c>
      <c r="L5" s="28"/>
      <c r="O5" s="28"/>
      <c r="R5" s="28">
        <v>0.299</v>
      </c>
      <c r="S5" s="28">
        <v>0.299</v>
      </c>
      <c r="T5" s="28">
        <v>0.299</v>
      </c>
    </row>
    <row r="6" spans="1:23">
      <c r="A6" t="s">
        <v>256</v>
      </c>
      <c r="C6">
        <v>43</v>
      </c>
      <c r="E6">
        <v>65</v>
      </c>
      <c r="L6" s="28">
        <v>0.191666666666667</v>
      </c>
      <c r="O6" s="28">
        <v>0.191666666666667</v>
      </c>
    </row>
    <row r="7" spans="1:23">
      <c r="A7" t="s">
        <v>257</v>
      </c>
      <c r="C7">
        <v>55</v>
      </c>
      <c r="E7">
        <v>84</v>
      </c>
      <c r="L7" s="28">
        <v>0.24916667</v>
      </c>
      <c r="O7" s="28">
        <v>0.24916667</v>
      </c>
    </row>
    <row r="8" spans="1:23">
      <c r="A8" t="s">
        <v>258</v>
      </c>
      <c r="E8">
        <v>43</v>
      </c>
      <c r="F8">
        <v>65</v>
      </c>
      <c r="L8" s="28">
        <v>0.191666666666667</v>
      </c>
      <c r="O8" s="28">
        <v>0.191666666666667</v>
      </c>
      <c r="P8" s="32"/>
    </row>
    <row r="9" spans="1:23">
      <c r="A9" t="s">
        <v>259</v>
      </c>
      <c r="E9">
        <v>55</v>
      </c>
      <c r="F9">
        <v>84</v>
      </c>
      <c r="L9" s="28">
        <v>0.24916667</v>
      </c>
      <c r="O9" s="28">
        <v>0.24916667</v>
      </c>
      <c r="P9" s="32"/>
    </row>
    <row r="10" spans="1:23">
      <c r="A10" t="s">
        <v>260</v>
      </c>
      <c r="C10">
        <v>65</v>
      </c>
      <c r="F10">
        <v>43</v>
      </c>
      <c r="I10" s="28">
        <v>0.345</v>
      </c>
      <c r="P10" s="32"/>
    </row>
    <row r="11" spans="1:23">
      <c r="A11" t="s">
        <v>261</v>
      </c>
      <c r="C11">
        <v>84</v>
      </c>
      <c r="F11">
        <v>55</v>
      </c>
      <c r="I11" s="28">
        <v>0.4485</v>
      </c>
      <c r="P11" s="32"/>
    </row>
    <row r="12" spans="1:23">
      <c r="A12" t="s">
        <v>262</v>
      </c>
      <c r="D12">
        <v>43</v>
      </c>
      <c r="E12">
        <v>65</v>
      </c>
      <c r="P12" s="32">
        <v>0.23</v>
      </c>
    </row>
    <row r="13" spans="1:23">
      <c r="A13" t="s">
        <v>263</v>
      </c>
      <c r="D13">
        <v>55</v>
      </c>
      <c r="E13">
        <v>84</v>
      </c>
      <c r="P13" s="28">
        <v>0.299</v>
      </c>
    </row>
    <row r="14" spans="1:23">
      <c r="A14" t="s">
        <v>264</v>
      </c>
      <c r="E14">
        <v>65</v>
      </c>
      <c r="F14">
        <v>43</v>
      </c>
      <c r="G14" s="28">
        <v>0.08625</v>
      </c>
      <c r="J14" s="28"/>
      <c r="L14" s="28"/>
    </row>
    <row r="15" spans="1:23">
      <c r="A15" t="s">
        <v>265</v>
      </c>
      <c r="E15">
        <v>84</v>
      </c>
      <c r="F15">
        <v>55</v>
      </c>
      <c r="G15" s="28">
        <v>0.112125</v>
      </c>
      <c r="J15" s="28"/>
      <c r="L15" s="28"/>
    </row>
    <row r="16" spans="1:23">
      <c r="A16" t="s">
        <v>266</v>
      </c>
      <c r="C16">
        <v>43</v>
      </c>
      <c r="D16">
        <v>65</v>
      </c>
      <c r="J16" s="28"/>
      <c r="L16" s="28"/>
      <c r="R16" s="28">
        <v>0.345</v>
      </c>
    </row>
    <row r="17" spans="1:20">
      <c r="A17" t="s">
        <v>267</v>
      </c>
      <c r="C17">
        <v>55</v>
      </c>
      <c r="D17">
        <v>84</v>
      </c>
      <c r="J17" s="28"/>
      <c r="L17" s="28"/>
      <c r="R17" s="28">
        <v>0.4485</v>
      </c>
    </row>
    <row r="18" spans="1:20">
      <c r="A18" t="s">
        <v>268</v>
      </c>
      <c r="D18">
        <v>65</v>
      </c>
      <c r="E18">
        <v>43</v>
      </c>
      <c r="J18" s="28"/>
      <c r="L18" s="28"/>
      <c r="T18" s="28">
        <v>0.43125</v>
      </c>
    </row>
    <row r="19" spans="1:20">
      <c r="A19" t="s">
        <v>269</v>
      </c>
      <c r="D19">
        <v>84</v>
      </c>
      <c r="E19">
        <v>55</v>
      </c>
      <c r="J19" s="28"/>
      <c r="L19" s="28"/>
      <c r="T19" s="28">
        <v>0.560625</v>
      </c>
    </row>
    <row r="20" spans="1:20">
      <c r="A20" t="s">
        <v>270</v>
      </c>
      <c r="C20">
        <v>43</v>
      </c>
      <c r="E20">
        <v>65</v>
      </c>
      <c r="J20" s="28">
        <v>0.205357142857143</v>
      </c>
      <c r="L20" s="28"/>
    </row>
    <row r="21" spans="1:20">
      <c r="A21" t="s">
        <v>271</v>
      </c>
      <c r="C21">
        <v>55</v>
      </c>
      <c r="E21">
        <v>84</v>
      </c>
      <c r="J21" s="28">
        <v>0.2669643</v>
      </c>
      <c r="L21" s="28"/>
    </row>
    <row r="22" spans="1:20">
      <c r="A22" t="s">
        <v>272</v>
      </c>
      <c r="E22">
        <v>65</v>
      </c>
      <c r="F22">
        <v>43</v>
      </c>
      <c r="J22" s="28">
        <v>0.205357142857143</v>
      </c>
      <c r="K22" s="28"/>
      <c r="L22" s="28"/>
    </row>
    <row r="23" spans="1:20">
      <c r="A23" t="s">
        <v>273</v>
      </c>
      <c r="E23">
        <v>84</v>
      </c>
      <c r="F23">
        <v>55</v>
      </c>
      <c r="J23" s="28">
        <v>0.2669643</v>
      </c>
      <c r="K23" s="28"/>
      <c r="L23" s="28"/>
    </row>
    <row r="24" spans="1:20">
      <c r="A24" t="s">
        <v>274</v>
      </c>
      <c r="C24">
        <v>65</v>
      </c>
      <c r="F24">
        <v>43</v>
      </c>
      <c r="J24" s="28"/>
      <c r="K24" s="28">
        <v>0.191666666666667</v>
      </c>
      <c r="L24" s="28"/>
    </row>
    <row r="25" spans="1:20">
      <c r="A25" t="s">
        <v>275</v>
      </c>
      <c r="C25">
        <v>84</v>
      </c>
      <c r="F25">
        <v>55</v>
      </c>
      <c r="J25" s="28"/>
      <c r="K25" s="28">
        <v>0.24916667</v>
      </c>
      <c r="L25" s="28"/>
    </row>
    <row r="26" spans="1:20">
      <c r="A26" t="s">
        <v>276</v>
      </c>
      <c r="C26">
        <v>43</v>
      </c>
      <c r="D26">
        <v>65</v>
      </c>
      <c r="I26" s="28"/>
      <c r="T26" s="28">
        <v>0.43125</v>
      </c>
    </row>
    <row r="27" spans="1:20">
      <c r="A27" t="s">
        <v>277</v>
      </c>
      <c r="C27">
        <v>55</v>
      </c>
      <c r="D27">
        <v>84</v>
      </c>
      <c r="I27" s="28"/>
      <c r="T27" s="28">
        <v>0.560625</v>
      </c>
    </row>
    <row r="28" spans="1:20">
      <c r="A28" t="s">
        <v>278</v>
      </c>
      <c r="C28">
        <v>65</v>
      </c>
      <c r="F28">
        <v>43</v>
      </c>
      <c r="I28" s="28">
        <v>0.345</v>
      </c>
      <c r="T28" s="28"/>
    </row>
    <row r="29" spans="1:20">
      <c r="A29" t="s">
        <v>279</v>
      </c>
      <c r="C29">
        <v>84</v>
      </c>
      <c r="F29">
        <v>55</v>
      </c>
      <c r="I29" s="28">
        <v>0.4485</v>
      </c>
      <c r="T29" s="28"/>
    </row>
    <row r="30" spans="1:20">
      <c r="A30" t="s">
        <v>280</v>
      </c>
      <c r="C30">
        <v>43</v>
      </c>
      <c r="F30">
        <v>65</v>
      </c>
      <c r="T30" s="28"/>
    </row>
    <row r="31" spans="1:20">
      <c r="A31" t="s">
        <v>281</v>
      </c>
      <c r="C31">
        <v>55</v>
      </c>
      <c r="F31">
        <v>84</v>
      </c>
      <c r="T31" s="28"/>
    </row>
    <row r="32" spans="1:20">
      <c r="A32" t="s">
        <v>282</v>
      </c>
      <c r="C32">
        <v>65</v>
      </c>
      <c r="F32">
        <v>43</v>
      </c>
      <c r="J32" s="28">
        <v>0.205357142857143</v>
      </c>
    </row>
    <row r="33" spans="1:21">
      <c r="A33" t="s">
        <v>283</v>
      </c>
      <c r="C33">
        <v>84</v>
      </c>
      <c r="F33">
        <v>55</v>
      </c>
      <c r="J33" s="28">
        <v>0.2669643</v>
      </c>
    </row>
    <row r="34" spans="1:21">
      <c r="A34" t="s">
        <v>284</v>
      </c>
      <c r="D34">
        <v>65</v>
      </c>
      <c r="E34">
        <v>43</v>
      </c>
      <c r="J34" s="28"/>
      <c r="S34" s="28">
        <v>0.345</v>
      </c>
    </row>
    <row r="35" spans="1:21">
      <c r="A35" t="s">
        <v>285</v>
      </c>
      <c r="D35">
        <v>84</v>
      </c>
      <c r="E35">
        <v>55</v>
      </c>
      <c r="J35" s="28"/>
      <c r="S35" s="28">
        <v>0.4485</v>
      </c>
    </row>
    <row r="36" spans="1:21">
      <c r="A36" t="s">
        <v>286</v>
      </c>
      <c r="D36">
        <v>43</v>
      </c>
      <c r="F36">
        <v>65</v>
      </c>
      <c r="S36" s="28">
        <v>0.345</v>
      </c>
    </row>
    <row r="37" spans="1:21">
      <c r="A37" t="s">
        <v>287</v>
      </c>
      <c r="D37">
        <v>55</v>
      </c>
      <c r="F37">
        <v>84</v>
      </c>
      <c r="S37" s="28">
        <v>0.4485</v>
      </c>
    </row>
    <row r="38" spans="1:21">
      <c r="A38" t="s">
        <v>288</v>
      </c>
      <c r="E38">
        <v>43</v>
      </c>
      <c r="F38">
        <v>65</v>
      </c>
      <c r="M38" s="28">
        <v>0.191666666666667</v>
      </c>
      <c r="N38" s="28">
        <v>0.191666666666667</v>
      </c>
    </row>
    <row r="39" spans="1:21">
      <c r="A39" t="s">
        <v>289</v>
      </c>
      <c r="E39">
        <v>55</v>
      </c>
      <c r="F39">
        <v>84</v>
      </c>
      <c r="M39" s="28">
        <v>0.24916667</v>
      </c>
      <c r="N39" s="28">
        <v>0.24916667</v>
      </c>
    </row>
    <row r="40" spans="1:21">
      <c r="A40" t="s">
        <v>290</v>
      </c>
      <c r="D40">
        <v>65</v>
      </c>
      <c r="E40">
        <v>43</v>
      </c>
      <c r="R40" s="28">
        <v>0.345</v>
      </c>
    </row>
    <row r="41" spans="1:21">
      <c r="A41" t="s">
        <v>291</v>
      </c>
      <c r="D41">
        <v>84</v>
      </c>
      <c r="E41">
        <v>55</v>
      </c>
      <c r="R41" s="28">
        <v>0.4485</v>
      </c>
    </row>
    <row r="42" spans="1:21">
      <c r="A42" t="s">
        <v>292</v>
      </c>
      <c r="C42">
        <v>43</v>
      </c>
      <c r="F42">
        <v>65</v>
      </c>
      <c r="M42" s="28"/>
      <c r="N42" s="28"/>
      <c r="R42" s="32">
        <v>0.23</v>
      </c>
      <c r="S42" s="32">
        <v>0.23</v>
      </c>
      <c r="T42" s="32">
        <v>0.23</v>
      </c>
    </row>
    <row r="43" spans="1:21">
      <c r="A43" t="s">
        <v>293</v>
      </c>
      <c r="C43">
        <v>55</v>
      </c>
      <c r="F43">
        <v>84</v>
      </c>
      <c r="M43" s="28"/>
      <c r="N43" s="28"/>
      <c r="R43" s="28">
        <v>0.299</v>
      </c>
      <c r="S43" s="28">
        <v>0.299</v>
      </c>
      <c r="T43" s="28">
        <v>0.299</v>
      </c>
    </row>
    <row r="44" spans="1:21">
      <c r="A44" t="s">
        <v>294</v>
      </c>
      <c r="D44">
        <v>43</v>
      </c>
      <c r="E44">
        <v>65</v>
      </c>
      <c r="J44" s="28">
        <v>0.205357142857143</v>
      </c>
      <c r="M44" s="28"/>
      <c r="N44" s="28"/>
    </row>
    <row r="45" spans="1:21">
      <c r="A45" t="s">
        <v>295</v>
      </c>
      <c r="D45">
        <v>55</v>
      </c>
      <c r="E45">
        <v>84</v>
      </c>
      <c r="J45" s="28">
        <v>0.2669643</v>
      </c>
      <c r="M45" s="28"/>
      <c r="N45" s="28"/>
    </row>
    <row r="46" spans="1:21">
      <c r="A46" t="s">
        <v>296</v>
      </c>
      <c r="C46">
        <v>65</v>
      </c>
      <c r="F46">
        <v>43</v>
      </c>
      <c r="M46" s="28">
        <v>0.191666666666667</v>
      </c>
      <c r="N46" s="28">
        <v>0.191666666666667</v>
      </c>
    </row>
    <row r="47" spans="1:21">
      <c r="A47" t="s">
        <v>297</v>
      </c>
      <c r="C47">
        <v>84</v>
      </c>
      <c r="F47">
        <v>55</v>
      </c>
      <c r="M47" s="28">
        <v>0.24916667</v>
      </c>
      <c r="N47" s="28">
        <v>0.24916667</v>
      </c>
    </row>
    <row r="48" spans="1:21">
      <c r="A48" t="s">
        <v>298</v>
      </c>
      <c r="C48">
        <v>30</v>
      </c>
      <c r="E48">
        <v>46</v>
      </c>
      <c r="U48" s="28">
        <v>0.1225</v>
      </c>
    </row>
    <row r="49" spans="1:21">
      <c r="A49" t="s">
        <v>299</v>
      </c>
      <c r="D49">
        <v>30</v>
      </c>
      <c r="F49">
        <v>46</v>
      </c>
      <c r="U49" s="28">
        <v>0.1225</v>
      </c>
    </row>
    <row r="50" spans="1:21">
      <c r="A50" t="s">
        <v>300</v>
      </c>
      <c r="C50">
        <v>30</v>
      </c>
      <c r="D50">
        <v>46</v>
      </c>
      <c r="U50" s="28">
        <v>0.1225</v>
      </c>
    </row>
    <row r="51" spans="1:21">
      <c r="A51" t="s">
        <v>301</v>
      </c>
      <c r="C51">
        <v>46</v>
      </c>
      <c r="D51">
        <v>30</v>
      </c>
      <c r="U51" s="28">
        <v>0.1225</v>
      </c>
    </row>
    <row r="52" spans="1:21">
      <c r="A52" t="s">
        <v>302</v>
      </c>
      <c r="C52">
        <v>65</v>
      </c>
      <c r="D52">
        <v>43</v>
      </c>
      <c r="L52" s="28">
        <v>0.191666666666667</v>
      </c>
      <c r="O52" s="28">
        <v>0.191666666666667</v>
      </c>
      <c r="T52" s="32"/>
    </row>
    <row r="53" spans="1:21">
      <c r="A53" t="s">
        <v>303</v>
      </c>
      <c r="C53">
        <v>84</v>
      </c>
      <c r="D53">
        <v>55</v>
      </c>
      <c r="L53" s="28">
        <v>0.24916667</v>
      </c>
      <c r="O53" s="28">
        <v>0.24916667</v>
      </c>
      <c r="T53" s="32"/>
    </row>
    <row r="54" spans="1:21">
      <c r="A54" t="s">
        <v>304</v>
      </c>
      <c r="C54">
        <v>43</v>
      </c>
      <c r="D54">
        <v>65</v>
      </c>
      <c r="M54" s="28">
        <v>0.191666666666667</v>
      </c>
      <c r="N54" s="28">
        <v>0.191666666666667</v>
      </c>
      <c r="T54" s="32"/>
    </row>
    <row r="55" spans="1:21">
      <c r="A55" t="s">
        <v>305</v>
      </c>
      <c r="C55">
        <v>55</v>
      </c>
      <c r="D55">
        <v>84</v>
      </c>
      <c r="M55" s="28">
        <v>0.24916667</v>
      </c>
      <c r="N55" s="28">
        <v>0.24916667</v>
      </c>
      <c r="T55" s="32"/>
    </row>
    <row r="56" spans="1:21">
      <c r="A56" t="s">
        <v>306</v>
      </c>
      <c r="D56">
        <v>65</v>
      </c>
      <c r="F56">
        <v>43</v>
      </c>
      <c r="M56" s="28">
        <v>0.191666666666667</v>
      </c>
      <c r="N56" s="28">
        <v>0.191666666666667</v>
      </c>
      <c r="T56" s="32"/>
    </row>
    <row r="57" spans="1:21">
      <c r="A57" t="s">
        <v>307</v>
      </c>
      <c r="D57">
        <v>84</v>
      </c>
      <c r="F57">
        <v>55</v>
      </c>
      <c r="M57" s="28">
        <v>0.24916667</v>
      </c>
      <c r="N57" s="28">
        <v>0.24916667</v>
      </c>
      <c r="T57" s="32"/>
    </row>
    <row r="58" spans="1:21">
      <c r="A58" t="s">
        <v>308</v>
      </c>
      <c r="D58">
        <v>86</v>
      </c>
      <c r="T58" s="32">
        <v>0.45</v>
      </c>
    </row>
    <row r="59" spans="1:21">
      <c r="A59" t="s">
        <v>309</v>
      </c>
      <c r="D59">
        <v>111</v>
      </c>
      <c r="T59" s="28">
        <v>0.585</v>
      </c>
    </row>
    <row r="60" spans="1:21">
      <c r="A60" t="s">
        <v>310</v>
      </c>
      <c r="C60">
        <v>86</v>
      </c>
      <c r="R60" s="32">
        <v>0.24</v>
      </c>
      <c r="S60" s="32">
        <v>0.24</v>
      </c>
      <c r="T60" s="32">
        <v>0.24</v>
      </c>
    </row>
    <row r="61" spans="1:21">
      <c r="A61" t="s">
        <v>311</v>
      </c>
      <c r="C61">
        <v>111</v>
      </c>
      <c r="R61" s="28">
        <v>0.312</v>
      </c>
      <c r="S61" s="28">
        <v>0.312</v>
      </c>
      <c r="T61" s="28">
        <v>0.312</v>
      </c>
    </row>
    <row r="62" spans="1:21">
      <c r="A62" t="s">
        <v>312</v>
      </c>
      <c r="E62">
        <v>43</v>
      </c>
      <c r="F62">
        <v>65</v>
      </c>
      <c r="M62" s="28">
        <v>0.191666666666667</v>
      </c>
      <c r="N62" s="28">
        <v>0.191666666666667</v>
      </c>
    </row>
    <row r="63" spans="1:21">
      <c r="A63" t="s">
        <v>313</v>
      </c>
      <c r="E63">
        <v>55</v>
      </c>
      <c r="F63">
        <v>84</v>
      </c>
      <c r="M63" s="28">
        <v>0.24916667</v>
      </c>
      <c r="N63" s="28">
        <v>0.24916667</v>
      </c>
    </row>
    <row r="64" spans="1:21">
      <c r="A64" t="s">
        <v>314</v>
      </c>
      <c r="C64">
        <v>43</v>
      </c>
      <c r="D64">
        <v>65</v>
      </c>
      <c r="R64" s="32">
        <v>0.24</v>
      </c>
      <c r="S64" s="32">
        <v>0.24</v>
      </c>
      <c r="T64" s="32">
        <v>0.24</v>
      </c>
    </row>
    <row r="65" spans="1:20">
      <c r="A65" t="s">
        <v>315</v>
      </c>
      <c r="C65">
        <v>55</v>
      </c>
      <c r="D65">
        <v>84</v>
      </c>
      <c r="R65" s="28">
        <v>0.312</v>
      </c>
      <c r="S65" s="28">
        <v>0.312</v>
      </c>
      <c r="T65" s="28">
        <v>0.312</v>
      </c>
    </row>
    <row r="66" spans="1:20">
      <c r="A66" t="s">
        <v>316</v>
      </c>
      <c r="E66">
        <v>65</v>
      </c>
      <c r="F66">
        <v>43</v>
      </c>
      <c r="J66" s="28">
        <v>0.205357142857143</v>
      </c>
    </row>
    <row r="67" spans="1:20">
      <c r="A67" t="s">
        <v>317</v>
      </c>
      <c r="E67">
        <v>84</v>
      </c>
      <c r="F67">
        <v>55</v>
      </c>
      <c r="J67" s="28">
        <v>0.2669643</v>
      </c>
    </row>
    <row r="68" spans="1:20">
      <c r="A68" t="s">
        <v>318</v>
      </c>
      <c r="C68">
        <v>65</v>
      </c>
      <c r="F68">
        <v>43</v>
      </c>
      <c r="I68" s="28">
        <v>0.345</v>
      </c>
    </row>
    <row r="69" spans="1:20">
      <c r="A69" t="s">
        <v>60</v>
      </c>
      <c r="C69">
        <v>84</v>
      </c>
      <c r="F69">
        <v>55</v>
      </c>
      <c r="I69" s="28">
        <v>0.4485</v>
      </c>
    </row>
    <row r="70" spans="1:20">
      <c r="A70" t="s">
        <v>319</v>
      </c>
      <c r="C70">
        <v>43</v>
      </c>
      <c r="D70">
        <v>65</v>
      </c>
      <c r="I70" s="28">
        <v>0.345</v>
      </c>
    </row>
    <row r="71" spans="1:20">
      <c r="A71" t="s">
        <v>320</v>
      </c>
      <c r="C71">
        <v>55</v>
      </c>
      <c r="D71">
        <v>84</v>
      </c>
      <c r="I71" s="28">
        <v>0.4485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7"/>
  <sheetViews>
    <sheetView workbookViewId="0">
      <pane ySplit="1" topLeftCell="A83" activePane="bottomLeft" state="frozen"/>
      <selection/>
      <selection pane="bottomLeft" activeCell="J121" sqref="J121"/>
    </sheetView>
  </sheetViews>
  <sheetFormatPr defaultColWidth="9" defaultRowHeight="13.5"/>
  <cols>
    <col min="1" max="1" width="23.5" customWidth="1"/>
    <col min="2" max="2" width="12.875" customWidth="1"/>
    <col min="9" max="9" width="11.125" customWidth="1"/>
    <col min="11" max="11" width="9" style="28"/>
    <col min="19" max="19" width="10.375" customWidth="1"/>
  </cols>
  <sheetData>
    <row r="1" spans="1:23">
      <c r="B1" t="s">
        <v>90</v>
      </c>
      <c r="C1" t="s">
        <v>45</v>
      </c>
      <c r="D1" t="s">
        <v>48</v>
      </c>
      <c r="E1" t="s">
        <v>52</v>
      </c>
      <c r="F1" t="s">
        <v>54</v>
      </c>
      <c r="G1" t="s">
        <v>27</v>
      </c>
      <c r="H1" t="s">
        <v>4</v>
      </c>
      <c r="I1" t="s">
        <v>91</v>
      </c>
      <c r="J1" t="s">
        <v>92</v>
      </c>
      <c r="K1" s="28" t="s">
        <v>73</v>
      </c>
      <c r="L1" t="s">
        <v>75</v>
      </c>
      <c r="M1" t="s">
        <v>77</v>
      </c>
      <c r="N1" t="s">
        <v>78</v>
      </c>
      <c r="O1" t="s">
        <v>79</v>
      </c>
      <c r="P1" t="s">
        <v>81</v>
      </c>
      <c r="Q1" t="s">
        <v>80</v>
      </c>
      <c r="R1" t="s">
        <v>82</v>
      </c>
      <c r="S1" t="s">
        <v>83</v>
      </c>
      <c r="T1" t="s">
        <v>84</v>
      </c>
      <c r="U1" t="s">
        <v>61</v>
      </c>
      <c r="V1" t="s">
        <v>93</v>
      </c>
      <c r="W1" t="s">
        <v>94</v>
      </c>
    </row>
    <row r="2" spans="1:23">
      <c r="A2" t="s">
        <v>321</v>
      </c>
      <c r="C2">
        <v>21</v>
      </c>
      <c r="D2">
        <v>32</v>
      </c>
      <c r="K2" s="28">
        <v>0.23</v>
      </c>
    </row>
    <row r="3" spans="1:23">
      <c r="A3" t="s">
        <v>322</v>
      </c>
      <c r="C3">
        <v>27</v>
      </c>
      <c r="D3">
        <v>41</v>
      </c>
      <c r="K3" s="28">
        <v>0.299</v>
      </c>
    </row>
    <row r="4" spans="1:23">
      <c r="A4" t="s">
        <v>323</v>
      </c>
      <c r="C4">
        <v>41</v>
      </c>
      <c r="I4" s="28">
        <v>0.414</v>
      </c>
      <c r="V4" s="28"/>
    </row>
    <row r="5" spans="1:23">
      <c r="A5" t="s">
        <v>68</v>
      </c>
      <c r="C5">
        <v>53</v>
      </c>
      <c r="I5" s="28">
        <v>0.5382</v>
      </c>
      <c r="V5" s="28"/>
    </row>
    <row r="6" spans="1:23">
      <c r="A6" t="s">
        <v>324</v>
      </c>
      <c r="C6">
        <v>32</v>
      </c>
      <c r="F6">
        <v>21</v>
      </c>
      <c r="I6" s="28"/>
      <c r="K6" s="28">
        <v>0.23</v>
      </c>
      <c r="V6" s="28"/>
    </row>
    <row r="7" spans="1:23">
      <c r="A7" t="s">
        <v>325</v>
      </c>
      <c r="C7">
        <v>41</v>
      </c>
      <c r="F7">
        <v>27</v>
      </c>
      <c r="K7" s="28">
        <v>0.299</v>
      </c>
      <c r="V7" s="28"/>
    </row>
    <row r="8" spans="1:23">
      <c r="A8" t="s">
        <v>326</v>
      </c>
      <c r="C8">
        <v>21</v>
      </c>
      <c r="D8">
        <v>32</v>
      </c>
      <c r="T8" s="28">
        <v>0.5175</v>
      </c>
      <c r="V8" s="28"/>
    </row>
    <row r="9" spans="1:23">
      <c r="A9" t="s">
        <v>327</v>
      </c>
      <c r="C9">
        <v>27</v>
      </c>
      <c r="D9">
        <v>41</v>
      </c>
      <c r="T9" s="28">
        <v>0.67275</v>
      </c>
      <c r="V9" s="28"/>
    </row>
    <row r="10" spans="1:23">
      <c r="A10" t="s">
        <v>328</v>
      </c>
      <c r="E10">
        <v>21</v>
      </c>
      <c r="F10">
        <v>32</v>
      </c>
      <c r="V10" s="28">
        <v>0.207017835010977</v>
      </c>
    </row>
    <row r="11" spans="1:23">
      <c r="A11" t="s">
        <v>329</v>
      </c>
      <c r="E11">
        <v>27</v>
      </c>
      <c r="F11">
        <v>41</v>
      </c>
      <c r="V11" s="28">
        <v>0.2691232</v>
      </c>
    </row>
    <row r="12" spans="1:23">
      <c r="A12" t="s">
        <v>330</v>
      </c>
      <c r="C12">
        <v>32</v>
      </c>
      <c r="F12">
        <v>21</v>
      </c>
      <c r="K12" s="28">
        <v>0.23</v>
      </c>
      <c r="V12" s="28"/>
    </row>
    <row r="13" spans="1:23">
      <c r="A13" t="s">
        <v>331</v>
      </c>
      <c r="C13">
        <v>41</v>
      </c>
      <c r="F13">
        <v>27</v>
      </c>
      <c r="K13" s="28">
        <v>0.299</v>
      </c>
      <c r="V13" s="28"/>
    </row>
    <row r="14" spans="1:23">
      <c r="A14" t="s">
        <v>332</v>
      </c>
      <c r="C14">
        <v>32</v>
      </c>
      <c r="F14">
        <v>21</v>
      </c>
      <c r="R14" s="28"/>
    </row>
    <row r="15" spans="1:23">
      <c r="A15" t="s">
        <v>333</v>
      </c>
      <c r="C15">
        <v>41</v>
      </c>
      <c r="F15">
        <v>27</v>
      </c>
      <c r="R15" s="28"/>
    </row>
    <row r="16" spans="1:23">
      <c r="A16" t="s">
        <v>334</v>
      </c>
      <c r="C16">
        <v>41</v>
      </c>
      <c r="R16" s="28"/>
    </row>
    <row r="17" spans="1:18">
      <c r="A17" t="s">
        <v>335</v>
      </c>
      <c r="C17">
        <v>53</v>
      </c>
      <c r="R17" s="28"/>
    </row>
    <row r="18" spans="1:18">
      <c r="A18" t="s">
        <v>336</v>
      </c>
      <c r="F18">
        <v>41</v>
      </c>
      <c r="R18" s="28"/>
    </row>
    <row r="19" spans="1:18">
      <c r="A19" t="s">
        <v>337</v>
      </c>
      <c r="F19">
        <v>53</v>
      </c>
      <c r="R19" s="28"/>
    </row>
    <row r="20" spans="1:18">
      <c r="A20" t="s">
        <v>338</v>
      </c>
      <c r="E20">
        <v>41</v>
      </c>
      <c r="R20" s="28">
        <v>0.414</v>
      </c>
    </row>
    <row r="21" spans="1:18">
      <c r="A21" t="s">
        <v>339</v>
      </c>
      <c r="E21">
        <v>53</v>
      </c>
      <c r="R21" s="28">
        <v>0.5382</v>
      </c>
    </row>
    <row r="22" spans="1:18">
      <c r="A22" t="s">
        <v>340</v>
      </c>
      <c r="C22">
        <v>32</v>
      </c>
      <c r="D22">
        <v>21</v>
      </c>
      <c r="G22" s="28"/>
      <c r="I22" s="28">
        <v>0.414</v>
      </c>
    </row>
    <row r="23" spans="1:18">
      <c r="A23" t="s">
        <v>341</v>
      </c>
      <c r="C23">
        <v>41</v>
      </c>
      <c r="D23">
        <v>27</v>
      </c>
      <c r="G23" s="28"/>
      <c r="I23" s="28">
        <v>0.5382</v>
      </c>
    </row>
    <row r="24" spans="1:18">
      <c r="A24" t="s">
        <v>342</v>
      </c>
      <c r="E24">
        <v>21</v>
      </c>
      <c r="F24">
        <v>32</v>
      </c>
      <c r="G24" s="28"/>
      <c r="I24" s="28">
        <v>0.414</v>
      </c>
    </row>
    <row r="25" spans="1:18">
      <c r="A25" t="s">
        <v>343</v>
      </c>
      <c r="E25">
        <v>27</v>
      </c>
      <c r="F25">
        <v>41</v>
      </c>
      <c r="G25" s="28"/>
      <c r="I25" s="28">
        <v>0.5382</v>
      </c>
    </row>
    <row r="26" spans="1:18">
      <c r="A26" t="s">
        <v>344</v>
      </c>
      <c r="D26">
        <v>21</v>
      </c>
      <c r="E26">
        <v>32</v>
      </c>
      <c r="G26" s="28">
        <v>0.1035</v>
      </c>
    </row>
    <row r="27" spans="1:18">
      <c r="A27" t="s">
        <v>345</v>
      </c>
      <c r="D27">
        <v>27</v>
      </c>
      <c r="E27">
        <v>41</v>
      </c>
      <c r="G27" s="28">
        <v>0.13455</v>
      </c>
    </row>
    <row r="28" spans="1:18">
      <c r="A28" t="s">
        <v>346</v>
      </c>
      <c r="E28">
        <v>21</v>
      </c>
      <c r="F28">
        <v>32</v>
      </c>
      <c r="J28" s="28"/>
      <c r="L28" s="32">
        <v>0.23</v>
      </c>
      <c r="O28" s="32">
        <v>0.23</v>
      </c>
    </row>
    <row r="29" spans="1:18">
      <c r="A29" t="s">
        <v>347</v>
      </c>
      <c r="E29">
        <v>27</v>
      </c>
      <c r="F29">
        <v>41</v>
      </c>
      <c r="J29" s="28"/>
      <c r="L29" s="28">
        <v>0.299</v>
      </c>
      <c r="O29" s="28">
        <v>0.299</v>
      </c>
    </row>
    <row r="30" customFormat="1" spans="1:18">
      <c r="A30" t="s">
        <v>348</v>
      </c>
      <c r="D30">
        <v>21</v>
      </c>
      <c r="F30">
        <v>32</v>
      </c>
      <c r="J30" s="28"/>
      <c r="L30" s="28"/>
      <c r="M30" s="32"/>
      <c r="N30" s="32"/>
      <c r="R30" s="28">
        <v>0.414</v>
      </c>
    </row>
    <row r="31" customFormat="1" spans="1:18">
      <c r="A31" t="s">
        <v>349</v>
      </c>
      <c r="D31">
        <v>27</v>
      </c>
      <c r="F31">
        <v>41</v>
      </c>
      <c r="J31" s="28"/>
      <c r="L31" s="28"/>
      <c r="M31" s="32"/>
      <c r="N31" s="32"/>
      <c r="R31" s="28">
        <v>0.5382</v>
      </c>
    </row>
    <row r="32" customFormat="1" spans="1:18">
      <c r="A32" t="s">
        <v>350</v>
      </c>
      <c r="C32">
        <v>32</v>
      </c>
      <c r="F32">
        <v>21</v>
      </c>
      <c r="J32" s="28"/>
      <c r="L32" s="28"/>
      <c r="M32" s="32">
        <v>0.23</v>
      </c>
      <c r="N32" s="32">
        <v>0.23</v>
      </c>
    </row>
    <row r="33" customFormat="1" spans="1:19">
      <c r="A33" t="s">
        <v>351</v>
      </c>
      <c r="C33">
        <v>41</v>
      </c>
      <c r="F33">
        <v>27</v>
      </c>
      <c r="J33" s="28"/>
      <c r="L33" s="28"/>
      <c r="M33" s="28">
        <v>0.299</v>
      </c>
      <c r="N33" s="28">
        <v>0.299</v>
      </c>
    </row>
    <row r="34" customFormat="1" spans="1:19">
      <c r="A34" t="s">
        <v>352</v>
      </c>
      <c r="C34">
        <v>21</v>
      </c>
      <c r="D34">
        <v>32</v>
      </c>
      <c r="J34" s="28"/>
      <c r="R34" s="28">
        <v>0.414</v>
      </c>
    </row>
    <row r="35" customFormat="1" spans="1:19">
      <c r="A35" t="s">
        <v>353</v>
      </c>
      <c r="C35">
        <v>27</v>
      </c>
      <c r="D35">
        <v>41</v>
      </c>
      <c r="J35" s="28"/>
      <c r="R35" s="28">
        <v>0.5382</v>
      </c>
    </row>
    <row r="36" customFormat="1" spans="1:19">
      <c r="A36" t="s">
        <v>354</v>
      </c>
      <c r="D36">
        <v>32</v>
      </c>
      <c r="E36">
        <v>21</v>
      </c>
      <c r="G36" s="28">
        <v>0.1035</v>
      </c>
      <c r="J36" s="28"/>
    </row>
    <row r="37" customFormat="1" spans="1:19">
      <c r="A37" t="s">
        <v>355</v>
      </c>
      <c r="D37">
        <v>41</v>
      </c>
      <c r="E37">
        <v>27</v>
      </c>
      <c r="G37" s="28">
        <v>0.13455</v>
      </c>
      <c r="J37" s="28"/>
    </row>
    <row r="38" spans="1:19">
      <c r="A38" t="s">
        <v>356</v>
      </c>
      <c r="E38">
        <v>43</v>
      </c>
      <c r="J38" s="28">
        <v>0.257142857142857</v>
      </c>
    </row>
    <row r="39" spans="1:19">
      <c r="A39" t="s">
        <v>357</v>
      </c>
      <c r="E39">
        <v>55</v>
      </c>
      <c r="J39" s="28">
        <v>0.3342857</v>
      </c>
    </row>
    <row r="40" spans="1:19">
      <c r="A40" t="s">
        <v>358</v>
      </c>
      <c r="F40">
        <v>43</v>
      </c>
      <c r="G40" s="28">
        <v>0.108</v>
      </c>
      <c r="J40" s="28"/>
    </row>
    <row r="41" spans="1:19">
      <c r="A41" t="s">
        <v>359</v>
      </c>
      <c r="F41">
        <v>55</v>
      </c>
      <c r="G41" s="28">
        <v>0.1404</v>
      </c>
      <c r="J41" s="28"/>
    </row>
    <row r="42" spans="1:19">
      <c r="A42" t="s">
        <v>360</v>
      </c>
      <c r="C42">
        <v>43</v>
      </c>
      <c r="J42" s="28"/>
    </row>
    <row r="43" spans="1:19">
      <c r="A43" t="s">
        <v>361</v>
      </c>
      <c r="C43">
        <v>55</v>
      </c>
      <c r="J43" s="28"/>
    </row>
    <row r="44" spans="1:19">
      <c r="A44" t="s">
        <v>362</v>
      </c>
      <c r="D44">
        <v>43</v>
      </c>
      <c r="J44" s="28"/>
      <c r="S44" s="28">
        <v>0.432</v>
      </c>
    </row>
    <row r="45" spans="1:19">
      <c r="A45" t="s">
        <v>363</v>
      </c>
      <c r="D45">
        <v>55</v>
      </c>
      <c r="J45" s="28"/>
      <c r="S45" s="28">
        <v>0.5616</v>
      </c>
    </row>
    <row r="46" spans="1:19">
      <c r="A46" t="s">
        <v>364</v>
      </c>
      <c r="C46">
        <v>21</v>
      </c>
      <c r="E46">
        <v>32</v>
      </c>
      <c r="J46" s="28">
        <v>0.246428571428571</v>
      </c>
    </row>
    <row r="47" spans="1:19">
      <c r="A47" t="s">
        <v>365</v>
      </c>
      <c r="C47">
        <v>27</v>
      </c>
      <c r="E47">
        <v>41</v>
      </c>
      <c r="J47" s="28">
        <v>0.32035714</v>
      </c>
    </row>
    <row r="48" spans="1:19">
      <c r="A48" t="s">
        <v>366</v>
      </c>
      <c r="E48">
        <v>32</v>
      </c>
      <c r="F48">
        <v>21</v>
      </c>
      <c r="J48" s="28"/>
    </row>
    <row r="49" spans="1:19">
      <c r="A49" t="s">
        <v>367</v>
      </c>
      <c r="E49">
        <v>41</v>
      </c>
      <c r="F49">
        <v>27</v>
      </c>
      <c r="J49" s="28"/>
    </row>
    <row r="50" spans="1:19">
      <c r="A50" t="s">
        <v>368</v>
      </c>
      <c r="E50">
        <v>21</v>
      </c>
      <c r="F50">
        <v>32</v>
      </c>
      <c r="J50" s="28">
        <v>0.246428571428571</v>
      </c>
    </row>
    <row r="51" spans="1:19">
      <c r="A51" t="s">
        <v>369</v>
      </c>
      <c r="E51">
        <v>27</v>
      </c>
      <c r="F51">
        <v>41</v>
      </c>
      <c r="J51" s="28">
        <v>0.32035714</v>
      </c>
    </row>
    <row r="52" spans="1:19">
      <c r="A52" t="s">
        <v>370</v>
      </c>
      <c r="C52">
        <v>21</v>
      </c>
      <c r="D52">
        <v>32</v>
      </c>
      <c r="J52" s="28"/>
      <c r="Q52" s="28">
        <v>0.414</v>
      </c>
    </row>
    <row r="53" spans="1:19">
      <c r="A53" t="s">
        <v>371</v>
      </c>
      <c r="C53">
        <v>27</v>
      </c>
      <c r="D53">
        <v>41</v>
      </c>
      <c r="J53" s="28"/>
      <c r="Q53" s="28">
        <v>0.5382</v>
      </c>
    </row>
    <row r="54" spans="1:19">
      <c r="A54" t="s">
        <v>372</v>
      </c>
      <c r="C54">
        <v>21</v>
      </c>
      <c r="D54">
        <v>32</v>
      </c>
      <c r="G54" s="28">
        <v>0.1035</v>
      </c>
      <c r="Q54" s="28"/>
    </row>
    <row r="55" spans="1:19">
      <c r="A55" t="s">
        <v>373</v>
      </c>
      <c r="C55">
        <v>27</v>
      </c>
      <c r="D55">
        <v>41</v>
      </c>
      <c r="G55" s="28">
        <v>0.13455</v>
      </c>
      <c r="Q55" s="28"/>
    </row>
    <row r="56" spans="1:19">
      <c r="A56" t="s">
        <v>374</v>
      </c>
      <c r="C56">
        <v>21</v>
      </c>
      <c r="D56">
        <v>32</v>
      </c>
      <c r="Q56" s="28"/>
      <c r="R56" s="28">
        <v>0.414</v>
      </c>
    </row>
    <row r="57" spans="1:19">
      <c r="A57" t="s">
        <v>375</v>
      </c>
      <c r="C57">
        <v>27</v>
      </c>
      <c r="D57">
        <v>41</v>
      </c>
      <c r="Q57" s="28"/>
      <c r="R57" s="28">
        <v>0.5382</v>
      </c>
    </row>
    <row r="58" spans="1:19">
      <c r="A58" t="s">
        <v>376</v>
      </c>
      <c r="D58">
        <v>21</v>
      </c>
      <c r="F58">
        <v>32</v>
      </c>
      <c r="R58" s="28">
        <v>0.414</v>
      </c>
    </row>
    <row r="59" spans="1:19">
      <c r="A59" t="s">
        <v>377</v>
      </c>
      <c r="D59">
        <v>27</v>
      </c>
      <c r="F59">
        <v>41</v>
      </c>
      <c r="R59" s="28">
        <v>0.5382</v>
      </c>
    </row>
    <row r="60" spans="1:19">
      <c r="A60" t="s">
        <v>378</v>
      </c>
      <c r="E60">
        <v>21</v>
      </c>
      <c r="F60">
        <v>32</v>
      </c>
      <c r="I60" s="28"/>
      <c r="S60" s="28">
        <v>0.414</v>
      </c>
    </row>
    <row r="61" spans="1:19">
      <c r="A61" t="s">
        <v>379</v>
      </c>
      <c r="E61">
        <v>27</v>
      </c>
      <c r="F61">
        <v>41</v>
      </c>
      <c r="I61" s="28"/>
      <c r="S61" s="28">
        <v>0.5382</v>
      </c>
    </row>
    <row r="62" spans="1:19">
      <c r="A62" t="s">
        <v>380</v>
      </c>
      <c r="E62">
        <v>21</v>
      </c>
      <c r="F62">
        <v>32</v>
      </c>
      <c r="I62" s="28"/>
      <c r="K62" s="32"/>
      <c r="R62" s="28">
        <v>0.414</v>
      </c>
      <c r="S62" s="28"/>
    </row>
    <row r="63" spans="1:19">
      <c r="A63" t="s">
        <v>381</v>
      </c>
      <c r="E63">
        <v>27</v>
      </c>
      <c r="F63">
        <v>41</v>
      </c>
      <c r="I63" s="28"/>
      <c r="K63" s="32"/>
      <c r="R63" s="28">
        <v>0.5382</v>
      </c>
      <c r="S63" s="28"/>
    </row>
    <row r="64" spans="1:19">
      <c r="A64" t="s">
        <v>382</v>
      </c>
      <c r="C64">
        <v>32</v>
      </c>
      <c r="F64">
        <v>21</v>
      </c>
      <c r="I64" s="28"/>
      <c r="K64" s="32">
        <v>0.23</v>
      </c>
      <c r="S64" s="28"/>
    </row>
    <row r="65" spans="1:23">
      <c r="A65" t="s">
        <v>383</v>
      </c>
      <c r="C65">
        <v>41</v>
      </c>
      <c r="F65">
        <v>27</v>
      </c>
      <c r="I65" s="28"/>
      <c r="K65" s="28">
        <v>0.299</v>
      </c>
      <c r="S65" s="28"/>
    </row>
    <row r="66" spans="1:23">
      <c r="A66" t="s">
        <v>384</v>
      </c>
      <c r="C66">
        <v>21</v>
      </c>
      <c r="D66">
        <v>32</v>
      </c>
      <c r="I66" s="28">
        <v>0.414</v>
      </c>
    </row>
    <row r="67" spans="1:23">
      <c r="A67" t="s">
        <v>385</v>
      </c>
      <c r="C67">
        <v>27</v>
      </c>
      <c r="D67">
        <v>41</v>
      </c>
      <c r="I67" s="28">
        <v>0.5382</v>
      </c>
    </row>
    <row r="68" spans="1:23">
      <c r="A68" t="s">
        <v>386</v>
      </c>
      <c r="C68">
        <v>21</v>
      </c>
      <c r="D68">
        <v>32</v>
      </c>
      <c r="K68" s="32">
        <v>0.23</v>
      </c>
      <c r="S68" s="28"/>
    </row>
    <row r="69" spans="1:23">
      <c r="A69" t="s">
        <v>387</v>
      </c>
      <c r="C69">
        <v>27</v>
      </c>
      <c r="D69">
        <v>41</v>
      </c>
      <c r="K69" s="28">
        <v>0.299</v>
      </c>
      <c r="S69" s="28"/>
    </row>
    <row r="70" spans="1:23">
      <c r="A70" t="s">
        <v>388</v>
      </c>
      <c r="C70">
        <v>32</v>
      </c>
      <c r="D70">
        <v>21</v>
      </c>
      <c r="R70" s="28">
        <v>0.414</v>
      </c>
      <c r="S70" s="28"/>
    </row>
    <row r="71" spans="1:23">
      <c r="A71" t="s">
        <v>389</v>
      </c>
      <c r="C71">
        <v>41</v>
      </c>
      <c r="D71">
        <v>27</v>
      </c>
      <c r="R71" s="28">
        <v>0.5382</v>
      </c>
      <c r="S71" s="28"/>
    </row>
    <row r="72" spans="1:23">
      <c r="A72" t="s">
        <v>390</v>
      </c>
      <c r="C72">
        <v>32</v>
      </c>
      <c r="D72">
        <v>21</v>
      </c>
      <c r="S72" s="28">
        <v>0.414</v>
      </c>
    </row>
    <row r="73" spans="1:23">
      <c r="A73" t="s">
        <v>391</v>
      </c>
      <c r="C73">
        <v>41</v>
      </c>
      <c r="D73">
        <v>27</v>
      </c>
      <c r="S73" s="28">
        <v>0.5382</v>
      </c>
    </row>
    <row r="74" spans="1:23">
      <c r="A74" t="s">
        <v>392</v>
      </c>
      <c r="C74">
        <v>32</v>
      </c>
      <c r="E74">
        <v>21</v>
      </c>
      <c r="I74" s="28"/>
      <c r="M74" s="32">
        <v>0.23</v>
      </c>
      <c r="N74" s="32">
        <v>0.23</v>
      </c>
    </row>
    <row r="75" spans="1:23">
      <c r="A75" t="s">
        <v>393</v>
      </c>
      <c r="C75">
        <v>41</v>
      </c>
      <c r="E75">
        <v>27</v>
      </c>
      <c r="I75" s="28"/>
      <c r="M75" s="28">
        <v>0.299</v>
      </c>
      <c r="N75" s="28">
        <v>0.299</v>
      </c>
    </row>
    <row r="76" spans="1:23">
      <c r="A76" t="s">
        <v>394</v>
      </c>
      <c r="D76">
        <v>32</v>
      </c>
      <c r="E76">
        <v>21</v>
      </c>
      <c r="I76" s="28"/>
      <c r="W76" s="28">
        <v>0.207017835010977</v>
      </c>
    </row>
    <row r="77" spans="1:23">
      <c r="A77" t="s">
        <v>395</v>
      </c>
      <c r="D77">
        <v>41</v>
      </c>
      <c r="E77">
        <v>27</v>
      </c>
      <c r="I77" s="28"/>
      <c r="W77" s="28">
        <v>0.2691232</v>
      </c>
    </row>
    <row r="78" spans="1:23">
      <c r="A78" t="s">
        <v>396</v>
      </c>
      <c r="D78">
        <v>21</v>
      </c>
      <c r="E78">
        <v>32</v>
      </c>
      <c r="I78" s="28"/>
      <c r="T78" s="28"/>
      <c r="W78" s="28">
        <v>0.207017835010977</v>
      </c>
    </row>
    <row r="79" spans="1:23">
      <c r="A79" t="s">
        <v>397</v>
      </c>
      <c r="D79">
        <v>27</v>
      </c>
      <c r="E79">
        <v>41</v>
      </c>
      <c r="I79" s="28"/>
      <c r="T79" s="28"/>
      <c r="W79" s="28">
        <v>0.2691232</v>
      </c>
    </row>
    <row r="80" spans="1:23">
      <c r="A80" t="s">
        <v>398</v>
      </c>
      <c r="C80">
        <v>41</v>
      </c>
      <c r="I80" s="28"/>
      <c r="T80" s="28">
        <v>0.5175</v>
      </c>
    </row>
    <row r="81" spans="1:20">
      <c r="A81" t="s">
        <v>399</v>
      </c>
      <c r="C81">
        <v>53</v>
      </c>
      <c r="I81" s="28"/>
      <c r="T81" s="28">
        <v>0.67275</v>
      </c>
    </row>
    <row r="82" spans="1:20">
      <c r="A82" t="s">
        <v>400</v>
      </c>
      <c r="F82">
        <v>41</v>
      </c>
      <c r="I82" s="28"/>
      <c r="K82" s="32">
        <v>0.23</v>
      </c>
    </row>
    <row r="83" spans="1:20">
      <c r="A83" t="s">
        <v>401</v>
      </c>
      <c r="F83">
        <v>53</v>
      </c>
      <c r="I83" s="28"/>
      <c r="K83" s="28">
        <v>0.299</v>
      </c>
    </row>
    <row r="84" spans="1:20">
      <c r="A84" t="s">
        <v>402</v>
      </c>
      <c r="E84">
        <v>41</v>
      </c>
      <c r="I84" s="28">
        <v>0.414</v>
      </c>
    </row>
    <row r="85" spans="1:20">
      <c r="A85" t="s">
        <v>403</v>
      </c>
      <c r="E85">
        <v>53</v>
      </c>
      <c r="I85" s="28">
        <v>0.5382</v>
      </c>
    </row>
    <row r="86" spans="1:20">
      <c r="A86" t="s">
        <v>404</v>
      </c>
      <c r="D86">
        <v>21</v>
      </c>
      <c r="E86">
        <v>32</v>
      </c>
      <c r="I86" s="28">
        <v>0.414</v>
      </c>
      <c r="K86" s="32"/>
    </row>
    <row r="87" spans="1:20">
      <c r="A87" t="s">
        <v>405</v>
      </c>
      <c r="D87">
        <v>27</v>
      </c>
      <c r="E87">
        <v>41</v>
      </c>
      <c r="I87" s="28">
        <v>0.5382</v>
      </c>
      <c r="K87" s="32"/>
    </row>
    <row r="88" spans="1:20">
      <c r="A88" t="s">
        <v>406</v>
      </c>
      <c r="F88">
        <v>41</v>
      </c>
      <c r="K88" s="32"/>
      <c r="T88" s="28">
        <v>0.5175</v>
      </c>
    </row>
    <row r="89" spans="1:20">
      <c r="A89" t="s">
        <v>407</v>
      </c>
      <c r="F89">
        <v>53</v>
      </c>
      <c r="K89" s="32"/>
      <c r="T89" s="28">
        <v>0.67275</v>
      </c>
    </row>
    <row r="90" spans="1:20">
      <c r="A90" t="s">
        <v>408</v>
      </c>
      <c r="C90">
        <v>32</v>
      </c>
      <c r="F90">
        <v>21</v>
      </c>
      <c r="K90" s="32">
        <v>0.23</v>
      </c>
    </row>
    <row r="91" spans="1:20">
      <c r="A91" t="s">
        <v>409</v>
      </c>
      <c r="C91">
        <v>41</v>
      </c>
      <c r="F91">
        <v>27</v>
      </c>
      <c r="K91" s="28">
        <v>0.299</v>
      </c>
    </row>
    <row r="92" spans="1:20">
      <c r="A92" t="s">
        <v>410</v>
      </c>
      <c r="C92">
        <v>21</v>
      </c>
      <c r="D92">
        <v>32</v>
      </c>
      <c r="S92" s="28"/>
      <c r="T92" s="28">
        <v>0.5175</v>
      </c>
    </row>
    <row r="93" spans="1:20">
      <c r="A93" t="s">
        <v>411</v>
      </c>
      <c r="C93">
        <v>27</v>
      </c>
      <c r="D93">
        <v>41</v>
      </c>
      <c r="S93" s="28"/>
      <c r="T93" s="28">
        <v>0.67275</v>
      </c>
    </row>
    <row r="94" spans="1:20">
      <c r="A94" t="s">
        <v>412</v>
      </c>
      <c r="D94">
        <v>32</v>
      </c>
      <c r="E94">
        <v>21</v>
      </c>
      <c r="S94" s="28">
        <v>0.414</v>
      </c>
    </row>
    <row r="95" spans="1:20">
      <c r="A95" t="s">
        <v>413</v>
      </c>
      <c r="D95">
        <v>41</v>
      </c>
      <c r="E95">
        <v>27</v>
      </c>
      <c r="S95" s="28">
        <v>0.5382</v>
      </c>
    </row>
    <row r="96" spans="1:20">
      <c r="A96" t="s">
        <v>414</v>
      </c>
      <c r="D96">
        <v>21</v>
      </c>
      <c r="F96">
        <v>32</v>
      </c>
      <c r="S96" s="28">
        <v>0.414</v>
      </c>
    </row>
    <row r="97" spans="1:20">
      <c r="A97" t="s">
        <v>415</v>
      </c>
      <c r="D97">
        <v>27</v>
      </c>
      <c r="F97">
        <v>41</v>
      </c>
      <c r="S97" s="28">
        <v>0.5382</v>
      </c>
    </row>
    <row r="98" spans="1:20">
      <c r="A98" t="s">
        <v>416</v>
      </c>
      <c r="C98">
        <v>21</v>
      </c>
      <c r="E98">
        <v>32</v>
      </c>
      <c r="R98" s="28">
        <v>0.276</v>
      </c>
      <c r="S98" s="28">
        <v>0.276</v>
      </c>
      <c r="T98" s="28">
        <v>0.276</v>
      </c>
    </row>
    <row r="99" spans="1:20">
      <c r="A99" t="s">
        <v>417</v>
      </c>
      <c r="C99">
        <v>27</v>
      </c>
      <c r="E99">
        <v>41</v>
      </c>
      <c r="R99" s="28">
        <v>0.3588</v>
      </c>
      <c r="S99" s="28">
        <v>0.3588</v>
      </c>
      <c r="T99" s="28">
        <v>0.3588</v>
      </c>
    </row>
    <row r="100" spans="1:20">
      <c r="A100" t="s">
        <v>418</v>
      </c>
      <c r="C100">
        <v>32</v>
      </c>
      <c r="F100">
        <v>21</v>
      </c>
      <c r="M100" s="32">
        <v>0.23</v>
      </c>
      <c r="N100" s="32">
        <v>0.23</v>
      </c>
    </row>
    <row r="101" spans="1:20">
      <c r="A101" t="s">
        <v>419</v>
      </c>
      <c r="C101">
        <v>41</v>
      </c>
      <c r="F101">
        <v>27</v>
      </c>
      <c r="M101" s="28">
        <v>0.299</v>
      </c>
      <c r="N101" s="28">
        <v>0.299</v>
      </c>
    </row>
    <row r="102" spans="1:20">
      <c r="A102" t="s">
        <v>420</v>
      </c>
      <c r="C102">
        <v>21</v>
      </c>
      <c r="E102">
        <v>32</v>
      </c>
      <c r="P102" s="28">
        <v>0.276</v>
      </c>
      <c r="R102" s="28"/>
    </row>
    <row r="103" spans="1:20">
      <c r="A103" t="s">
        <v>421</v>
      </c>
      <c r="C103">
        <v>27</v>
      </c>
      <c r="E103">
        <v>41</v>
      </c>
      <c r="P103" s="28">
        <v>0.3588</v>
      </c>
      <c r="R103" s="28"/>
    </row>
    <row r="104" spans="1:20">
      <c r="A104" t="s">
        <v>422</v>
      </c>
      <c r="E104">
        <v>21</v>
      </c>
      <c r="F104">
        <v>32</v>
      </c>
      <c r="R104" s="28">
        <v>0.414</v>
      </c>
    </row>
    <row r="105" spans="1:20">
      <c r="A105" t="s">
        <v>423</v>
      </c>
      <c r="E105">
        <v>27</v>
      </c>
      <c r="F105">
        <v>41</v>
      </c>
      <c r="R105" s="28">
        <v>0.5382</v>
      </c>
    </row>
    <row r="106" spans="1:20">
      <c r="A106" t="s">
        <v>424</v>
      </c>
      <c r="C106">
        <v>21</v>
      </c>
      <c r="D106">
        <v>32</v>
      </c>
      <c r="R106" s="28">
        <v>0.414</v>
      </c>
    </row>
    <row r="107" spans="1:20">
      <c r="A107" t="s">
        <v>425</v>
      </c>
      <c r="C107">
        <v>27</v>
      </c>
      <c r="D107">
        <v>41</v>
      </c>
      <c r="R107" s="28">
        <v>0.5382</v>
      </c>
    </row>
    <row r="108" spans="1:20">
      <c r="A108" t="s">
        <v>426</v>
      </c>
      <c r="C108">
        <v>21</v>
      </c>
      <c r="D108">
        <v>32</v>
      </c>
      <c r="K108" s="32">
        <v>0.23</v>
      </c>
      <c r="L108" s="32"/>
      <c r="O108" s="32"/>
    </row>
    <row r="109" spans="1:20">
      <c r="A109" t="s">
        <v>427</v>
      </c>
      <c r="C109">
        <v>27</v>
      </c>
      <c r="D109">
        <v>41</v>
      </c>
      <c r="K109" s="28">
        <v>0.299</v>
      </c>
      <c r="L109" s="32"/>
      <c r="O109" s="32"/>
    </row>
    <row r="110" spans="1:20">
      <c r="A110" t="s">
        <v>428</v>
      </c>
      <c r="C110">
        <v>32</v>
      </c>
      <c r="D110">
        <v>21</v>
      </c>
      <c r="L110" s="32">
        <v>0.23</v>
      </c>
      <c r="O110" s="32">
        <v>0.23</v>
      </c>
    </row>
    <row r="111" spans="1:20">
      <c r="A111" t="s">
        <v>429</v>
      </c>
      <c r="C111">
        <v>41</v>
      </c>
      <c r="D111">
        <v>27</v>
      </c>
      <c r="L111" s="28">
        <v>0.299</v>
      </c>
      <c r="O111" s="28">
        <v>0.299</v>
      </c>
    </row>
    <row r="112" spans="1:20">
      <c r="A112" t="s">
        <v>430</v>
      </c>
      <c r="E112">
        <v>32</v>
      </c>
      <c r="F112">
        <v>21</v>
      </c>
      <c r="I112" s="28">
        <v>0.414</v>
      </c>
    </row>
    <row r="113" spans="1:12">
      <c r="A113" t="s">
        <v>431</v>
      </c>
      <c r="E113">
        <v>41</v>
      </c>
      <c r="F113">
        <v>27</v>
      </c>
      <c r="I113" s="28">
        <v>0.5382</v>
      </c>
    </row>
    <row r="114" spans="1:12">
      <c r="A114" t="s">
        <v>432</v>
      </c>
      <c r="C114">
        <v>32</v>
      </c>
      <c r="F114">
        <v>21</v>
      </c>
      <c r="K114" s="32">
        <v>0.23</v>
      </c>
      <c r="L114" s="32"/>
    </row>
    <row r="115" spans="1:12">
      <c r="A115" t="s">
        <v>66</v>
      </c>
      <c r="C115">
        <v>41</v>
      </c>
      <c r="F115">
        <v>27</v>
      </c>
      <c r="K115" s="28">
        <v>0.299</v>
      </c>
      <c r="L115" s="28"/>
    </row>
    <row r="116" spans="1:12">
      <c r="A116" t="s">
        <v>433</v>
      </c>
      <c r="C116">
        <v>21</v>
      </c>
      <c r="D116">
        <v>32</v>
      </c>
      <c r="K116" s="32">
        <v>0.23</v>
      </c>
      <c r="L116" s="32"/>
    </row>
    <row r="117" spans="1:12">
      <c r="A117" t="s">
        <v>434</v>
      </c>
      <c r="C117">
        <v>27</v>
      </c>
      <c r="D117">
        <v>41</v>
      </c>
      <c r="K117" s="28">
        <v>0.299</v>
      </c>
      <c r="L117" s="2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workbookViewId="0">
      <selection activeCell="N31" sqref="N31"/>
    </sheetView>
  </sheetViews>
  <sheetFormatPr defaultColWidth="9" defaultRowHeight="13.5"/>
  <cols>
    <col min="1" max="2" width="12.875" customWidth="1"/>
    <col min="9" max="9" width="11.125" style="28" customWidth="1"/>
    <col min="10" max="18" width="9" style="28"/>
    <col min="19" max="19" width="10.375" style="28" customWidth="1"/>
    <col min="20" max="21" width="9" style="28"/>
  </cols>
  <sheetData>
    <row r="1" spans="1:23">
      <c r="B1" t="s">
        <v>90</v>
      </c>
      <c r="C1" t="s">
        <v>45</v>
      </c>
      <c r="D1" t="s">
        <v>48</v>
      </c>
      <c r="E1" t="s">
        <v>52</v>
      </c>
      <c r="F1" t="s">
        <v>54</v>
      </c>
      <c r="G1" t="s">
        <v>27</v>
      </c>
      <c r="H1" t="s">
        <v>4</v>
      </c>
      <c r="I1" s="28" t="s">
        <v>91</v>
      </c>
      <c r="J1" s="28" t="s">
        <v>92</v>
      </c>
      <c r="K1" s="28" t="s">
        <v>73</v>
      </c>
      <c r="L1" s="28" t="s">
        <v>75</v>
      </c>
      <c r="M1" s="28" t="s">
        <v>77</v>
      </c>
      <c r="N1" s="28" t="s">
        <v>78</v>
      </c>
      <c r="O1" s="28" t="s">
        <v>79</v>
      </c>
      <c r="P1" s="28" t="s">
        <v>81</v>
      </c>
      <c r="Q1" s="28" t="s">
        <v>80</v>
      </c>
      <c r="R1" s="28" t="s">
        <v>82</v>
      </c>
      <c r="S1" s="28" t="s">
        <v>83</v>
      </c>
      <c r="T1" s="28" t="s">
        <v>84</v>
      </c>
      <c r="U1" s="28" t="s">
        <v>61</v>
      </c>
      <c r="V1" t="s">
        <v>93</v>
      </c>
      <c r="W1" t="s">
        <v>94</v>
      </c>
    </row>
    <row r="2" spans="1:23">
      <c r="A2" t="s">
        <v>435</v>
      </c>
      <c r="I2" s="28">
        <v>0.3</v>
      </c>
    </row>
    <row r="3" spans="1:23">
      <c r="A3" t="s">
        <v>436</v>
      </c>
      <c r="G3" s="32"/>
      <c r="I3" s="28">
        <v>0.3</v>
      </c>
    </row>
    <row r="4" spans="1:23">
      <c r="A4" t="s">
        <v>437</v>
      </c>
      <c r="G4" s="32">
        <v>0.05</v>
      </c>
    </row>
    <row r="5" spans="1:23">
      <c r="A5" t="s">
        <v>438</v>
      </c>
      <c r="G5" s="32"/>
      <c r="U5" s="28">
        <v>0.15</v>
      </c>
    </row>
    <row r="6" spans="1:23">
      <c r="A6" t="s">
        <v>439</v>
      </c>
      <c r="G6" s="32"/>
      <c r="U6" s="28">
        <v>0.15</v>
      </c>
    </row>
    <row r="7" spans="1:23">
      <c r="A7" t="s">
        <v>440</v>
      </c>
      <c r="G7" s="32"/>
      <c r="R7" s="28">
        <v>0.2</v>
      </c>
      <c r="S7" s="28">
        <v>0.2</v>
      </c>
      <c r="T7" s="28">
        <v>0.2</v>
      </c>
    </row>
    <row r="8" spans="1:23">
      <c r="A8" t="s">
        <v>441</v>
      </c>
      <c r="U8" s="28">
        <v>0.08</v>
      </c>
    </row>
    <row r="9" spans="1:23">
      <c r="A9" t="s">
        <v>442</v>
      </c>
      <c r="U9" s="28">
        <v>0.1</v>
      </c>
    </row>
    <row r="10" spans="1:23">
      <c r="A10" t="s">
        <v>72</v>
      </c>
      <c r="U10" s="28">
        <v>0.08</v>
      </c>
    </row>
    <row r="11" spans="1:23">
      <c r="A11" t="s">
        <v>43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workbookViewId="0">
      <selection activeCell="A5" sqref="A5"/>
    </sheetView>
  </sheetViews>
  <sheetFormatPr defaultColWidth="9" defaultRowHeight="13.5" outlineLevelRow="3"/>
  <cols>
    <col min="1" max="2" width="12.875" customWidth="1"/>
    <col min="9" max="9" width="11.125" style="28" customWidth="1"/>
    <col min="10" max="18" width="9" style="28"/>
    <col min="19" max="19" width="10.375" style="28" customWidth="1"/>
    <col min="20" max="21" width="9" style="28"/>
  </cols>
  <sheetData>
    <row r="1" spans="1:23">
      <c r="B1" t="s">
        <v>90</v>
      </c>
      <c r="C1" t="s">
        <v>45</v>
      </c>
      <c r="D1" t="s">
        <v>48</v>
      </c>
      <c r="E1" t="s">
        <v>52</v>
      </c>
      <c r="F1" t="s">
        <v>54</v>
      </c>
      <c r="G1" t="s">
        <v>27</v>
      </c>
      <c r="H1" t="s">
        <v>4</v>
      </c>
      <c r="I1" s="28" t="s">
        <v>91</v>
      </c>
      <c r="J1" s="28" t="s">
        <v>92</v>
      </c>
      <c r="K1" s="28" t="s">
        <v>73</v>
      </c>
      <c r="L1" s="28" t="s">
        <v>75</v>
      </c>
      <c r="M1" s="28" t="s">
        <v>77</v>
      </c>
      <c r="N1" s="28" t="s">
        <v>78</v>
      </c>
      <c r="O1" s="28" t="s">
        <v>79</v>
      </c>
      <c r="P1" s="28" t="s">
        <v>81</v>
      </c>
      <c r="Q1" s="28" t="s">
        <v>80</v>
      </c>
      <c r="R1" s="28" t="s">
        <v>82</v>
      </c>
      <c r="S1" s="28" t="s">
        <v>83</v>
      </c>
      <c r="T1" s="28" t="s">
        <v>84</v>
      </c>
      <c r="U1" s="28" t="s">
        <v>61</v>
      </c>
      <c r="V1" t="s">
        <v>93</v>
      </c>
      <c r="W1" t="s">
        <v>94</v>
      </c>
    </row>
    <row r="2" spans="1:23">
      <c r="A2" t="s">
        <v>443</v>
      </c>
      <c r="U2" s="28">
        <v>0.27</v>
      </c>
    </row>
    <row r="3" spans="1:23">
      <c r="A3" t="s">
        <v>76</v>
      </c>
      <c r="B3">
        <v>180</v>
      </c>
      <c r="G3" s="32">
        <v>0.11</v>
      </c>
    </row>
    <row r="4" spans="1:23">
      <c r="A4" t="s">
        <v>43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0"/>
  <sheetViews>
    <sheetView topLeftCell="A97" workbookViewId="0">
      <selection activeCell="N133" sqref="N133"/>
    </sheetView>
  </sheetViews>
  <sheetFormatPr defaultColWidth="9" defaultRowHeight="13.5"/>
  <cols>
    <col min="1" max="1" width="28.875" customWidth="1"/>
    <col min="2" max="2" width="9" style="33"/>
    <col min="3" max="3" width="9" style="30"/>
    <col min="4" max="4" width="12" style="30" customWidth="1"/>
    <col min="5" max="7" width="9" style="30"/>
    <col min="8" max="8" width="12.625" style="30" customWidth="1"/>
    <col min="9" max="11" width="9" style="30"/>
    <col min="12" max="12" width="12.25" style="30" customWidth="1"/>
    <col min="13" max="14" width="9" style="30"/>
    <col min="15" max="15" width="12.625" style="30"/>
  </cols>
  <sheetData>
    <row r="1" spans="1:15">
      <c r="B1" s="33" t="s">
        <v>24</v>
      </c>
      <c r="C1" s="30" t="s">
        <v>444</v>
      </c>
      <c r="D1" s="30" t="s">
        <v>445</v>
      </c>
      <c r="E1" s="30" t="s">
        <v>28</v>
      </c>
      <c r="F1" s="30" t="s">
        <v>446</v>
      </c>
      <c r="G1" s="30" t="s">
        <v>447</v>
      </c>
      <c r="H1" s="30" t="s">
        <v>29</v>
      </c>
      <c r="I1" s="30" t="s">
        <v>30</v>
      </c>
      <c r="J1" s="30" t="s">
        <v>31</v>
      </c>
      <c r="K1" s="30" t="s">
        <v>32</v>
      </c>
      <c r="L1" s="30" t="s">
        <v>33</v>
      </c>
      <c r="M1" s="30" t="s">
        <v>34</v>
      </c>
      <c r="N1" s="30" t="s">
        <v>35</v>
      </c>
      <c r="O1" s="30" t="s">
        <v>36</v>
      </c>
    </row>
    <row r="2" spans="1:15">
      <c r="A2" t="s">
        <v>448</v>
      </c>
      <c r="B2" s="33">
        <v>7.5</v>
      </c>
      <c r="E2" s="30" t="s">
        <v>73</v>
      </c>
      <c r="F2" s="30" t="s">
        <v>449</v>
      </c>
      <c r="G2" s="30">
        <v>0</v>
      </c>
      <c r="H2" s="30">
        <v>1</v>
      </c>
      <c r="O2" s="30">
        <f>89/392</f>
        <v>0.227040816326531</v>
      </c>
    </row>
    <row r="3" customFormat="1" spans="1:15">
      <c r="A3" t="s">
        <v>450</v>
      </c>
      <c r="B3" s="33">
        <v>7.5</v>
      </c>
      <c r="C3" s="30"/>
      <c r="D3" s="30"/>
      <c r="E3" s="30" t="s">
        <v>73</v>
      </c>
      <c r="F3" s="30" t="s">
        <v>449</v>
      </c>
      <c r="G3" s="30">
        <v>1</v>
      </c>
      <c r="H3" s="30">
        <v>1</v>
      </c>
      <c r="I3" s="30"/>
      <c r="J3" s="30"/>
      <c r="K3" s="30"/>
      <c r="L3" s="31">
        <v>0.3</v>
      </c>
      <c r="M3" s="30"/>
      <c r="N3" s="30"/>
      <c r="O3" s="30">
        <f>89/392</f>
        <v>0.227040816326531</v>
      </c>
    </row>
    <row r="4" spans="1:15">
      <c r="A4" t="s">
        <v>38</v>
      </c>
      <c r="B4" s="33">
        <v>6</v>
      </c>
      <c r="E4" s="30" t="s">
        <v>73</v>
      </c>
      <c r="F4" s="30" t="s">
        <v>449</v>
      </c>
      <c r="G4" s="30">
        <v>0</v>
      </c>
      <c r="H4" s="30">
        <v>1</v>
      </c>
      <c r="O4" s="30">
        <f>89/392</f>
        <v>0.227040816326531</v>
      </c>
    </row>
    <row r="5" customFormat="1" spans="1:15">
      <c r="A5" t="s">
        <v>451</v>
      </c>
      <c r="B5" s="33">
        <v>6</v>
      </c>
      <c r="C5" s="30"/>
      <c r="D5" s="30"/>
      <c r="E5" s="30" t="s">
        <v>73</v>
      </c>
      <c r="F5" s="30" t="s">
        <v>449</v>
      </c>
      <c r="G5" s="30">
        <v>1</v>
      </c>
      <c r="H5" s="30">
        <v>1</v>
      </c>
      <c r="I5" s="30"/>
      <c r="J5" s="30"/>
      <c r="K5" s="30"/>
      <c r="L5" s="31">
        <v>0.3</v>
      </c>
      <c r="M5" s="30"/>
      <c r="N5" s="30"/>
      <c r="O5" s="30">
        <f>89/392</f>
        <v>0.227040816326531</v>
      </c>
    </row>
    <row r="6" customFormat="1" spans="1:15">
      <c r="A6" t="s">
        <v>452</v>
      </c>
      <c r="B6" s="33">
        <v>4.5</v>
      </c>
      <c r="C6" s="30"/>
      <c r="D6" s="30"/>
      <c r="E6" s="30" t="s">
        <v>73</v>
      </c>
      <c r="F6" s="30" t="s">
        <v>449</v>
      </c>
      <c r="G6" s="30">
        <v>0</v>
      </c>
      <c r="H6" s="30">
        <v>1</v>
      </c>
      <c r="I6" s="30"/>
      <c r="J6" s="30"/>
      <c r="K6" s="30"/>
      <c r="L6" s="30"/>
      <c r="M6" s="30"/>
      <c r="N6" s="30"/>
      <c r="O6" s="30">
        <f>89/392</f>
        <v>0.227040816326531</v>
      </c>
    </row>
    <row r="7" customFormat="1" spans="1:15">
      <c r="A7" t="s">
        <v>453</v>
      </c>
      <c r="B7" s="33">
        <v>2.4</v>
      </c>
      <c r="C7" s="30"/>
      <c r="D7" s="30"/>
      <c r="E7" s="30" t="s">
        <v>73</v>
      </c>
      <c r="F7" s="30" t="s">
        <v>449</v>
      </c>
      <c r="G7" s="30">
        <v>0</v>
      </c>
      <c r="H7" s="30">
        <v>1</v>
      </c>
      <c r="I7" s="30"/>
      <c r="J7" s="30"/>
      <c r="K7" s="30"/>
      <c r="L7" s="30"/>
      <c r="M7" s="30"/>
      <c r="N7" s="30"/>
      <c r="O7" s="30">
        <f>89/196</f>
        <v>0.454081632653061</v>
      </c>
    </row>
    <row r="8" customFormat="1" spans="1:15">
      <c r="A8" t="s">
        <v>454</v>
      </c>
      <c r="B8" s="33">
        <v>1.6</v>
      </c>
      <c r="C8" s="30"/>
      <c r="D8" s="30"/>
      <c r="E8" s="30" t="s">
        <v>77</v>
      </c>
      <c r="F8" s="30" t="s">
        <v>449</v>
      </c>
      <c r="G8" s="30">
        <v>0</v>
      </c>
      <c r="H8" s="30">
        <v>1</v>
      </c>
      <c r="I8" s="30"/>
      <c r="J8" s="30"/>
      <c r="K8" s="30"/>
      <c r="L8" s="30"/>
      <c r="M8" s="30"/>
      <c r="N8" s="30"/>
      <c r="O8" s="30">
        <f>89/196</f>
        <v>0.454081632653061</v>
      </c>
    </row>
    <row r="9" customFormat="1" spans="1:15">
      <c r="A9" t="s">
        <v>455</v>
      </c>
      <c r="B9" s="33">
        <v>1.6</v>
      </c>
      <c r="C9" s="30"/>
      <c r="D9" s="30"/>
      <c r="E9" s="30" t="s">
        <v>78</v>
      </c>
      <c r="F9" s="30" t="s">
        <v>449</v>
      </c>
      <c r="G9" s="30">
        <v>0</v>
      </c>
      <c r="H9" s="30"/>
      <c r="I9" s="30"/>
      <c r="J9" s="30"/>
      <c r="K9" s="30"/>
      <c r="L9" s="30"/>
      <c r="M9" s="30"/>
      <c r="N9" s="30"/>
      <c r="O9" s="30">
        <f>89/196</f>
        <v>0.454081632653061</v>
      </c>
    </row>
    <row r="10" customFormat="1" spans="1:15">
      <c r="A10" t="s">
        <v>456</v>
      </c>
      <c r="B10" s="33">
        <v>2.78</v>
      </c>
      <c r="C10" s="30"/>
      <c r="D10" s="30"/>
      <c r="E10" s="30" t="s">
        <v>73</v>
      </c>
      <c r="F10" s="30" t="s">
        <v>81</v>
      </c>
      <c r="G10" s="30">
        <v>0</v>
      </c>
      <c r="H10" s="30"/>
      <c r="I10" s="30"/>
      <c r="J10" s="30"/>
      <c r="K10" s="30"/>
      <c r="L10" s="30"/>
      <c r="M10" s="30"/>
      <c r="N10" s="30"/>
      <c r="O10" s="30"/>
    </row>
    <row r="11" customFormat="1" spans="1:15">
      <c r="A11" t="s">
        <v>457</v>
      </c>
      <c r="B11" s="33">
        <v>2.78</v>
      </c>
      <c r="C11" s="30"/>
      <c r="D11" s="30"/>
      <c r="E11" s="30" t="s">
        <v>73</v>
      </c>
      <c r="F11" s="30" t="s">
        <v>81</v>
      </c>
      <c r="G11" s="30">
        <v>1</v>
      </c>
      <c r="H11" s="30"/>
      <c r="I11" s="30"/>
      <c r="J11" s="30"/>
      <c r="K11" s="30"/>
      <c r="L11" s="31">
        <v>0.3</v>
      </c>
      <c r="M11" s="30"/>
      <c r="N11" s="30"/>
      <c r="O11" s="30"/>
    </row>
    <row r="12" customFormat="1" spans="1:15">
      <c r="A12" t="s">
        <v>458</v>
      </c>
      <c r="B12" s="33">
        <v>7.2</v>
      </c>
      <c r="C12" s="30"/>
      <c r="D12" s="30"/>
      <c r="E12" s="30" t="s">
        <v>73</v>
      </c>
      <c r="F12" s="30" t="s">
        <v>81</v>
      </c>
      <c r="G12" s="30">
        <v>1</v>
      </c>
      <c r="H12" s="30"/>
      <c r="I12" s="30"/>
      <c r="J12" s="30"/>
      <c r="K12" s="30"/>
      <c r="L12" s="31">
        <v>0.3</v>
      </c>
      <c r="M12" s="30"/>
      <c r="N12" s="30"/>
      <c r="O12" s="30"/>
    </row>
    <row r="13" customFormat="1" spans="1:15">
      <c r="A13" t="s">
        <v>459</v>
      </c>
      <c r="B13" s="33">
        <v>0.8</v>
      </c>
      <c r="C13" s="30"/>
      <c r="D13" s="30"/>
      <c r="E13" s="30" t="s">
        <v>73</v>
      </c>
      <c r="F13" s="30" t="s">
        <v>83</v>
      </c>
      <c r="G13" s="30">
        <v>0</v>
      </c>
      <c r="H13" s="30"/>
      <c r="I13" s="30"/>
      <c r="J13" s="30"/>
      <c r="K13" s="30"/>
      <c r="L13" s="30"/>
      <c r="M13" s="30"/>
      <c r="N13" s="30"/>
      <c r="O13" s="30"/>
    </row>
    <row r="14" customFormat="1" spans="1:15">
      <c r="A14" t="s">
        <v>460</v>
      </c>
      <c r="B14" s="33">
        <v>0.8</v>
      </c>
      <c r="C14" s="30"/>
      <c r="D14" s="30"/>
      <c r="E14" s="30" t="s">
        <v>73</v>
      </c>
      <c r="F14" s="30" t="s">
        <v>83</v>
      </c>
      <c r="G14" s="30">
        <v>1</v>
      </c>
      <c r="H14" s="30"/>
      <c r="I14" s="30"/>
      <c r="J14" s="30"/>
      <c r="K14" s="30"/>
      <c r="L14" s="31">
        <v>0.3</v>
      </c>
      <c r="M14" s="30"/>
      <c r="N14" s="30"/>
      <c r="O14" s="30"/>
    </row>
    <row r="15" customFormat="1" spans="1:15">
      <c r="A15" t="s">
        <v>461</v>
      </c>
      <c r="B15" s="33">
        <v>1</v>
      </c>
      <c r="C15" s="30"/>
      <c r="D15" s="30"/>
      <c r="E15" s="30" t="s">
        <v>73</v>
      </c>
      <c r="F15" s="30" t="s">
        <v>83</v>
      </c>
      <c r="G15" s="30">
        <v>0</v>
      </c>
      <c r="H15" s="30"/>
      <c r="I15" s="30"/>
      <c r="J15" s="30"/>
      <c r="K15" s="30"/>
      <c r="L15" s="30"/>
      <c r="M15" s="30"/>
      <c r="N15" s="30"/>
      <c r="O15" s="30"/>
    </row>
    <row r="16" customFormat="1" spans="1:15">
      <c r="A16" t="s">
        <v>462</v>
      </c>
      <c r="B16" s="33">
        <v>3.6</v>
      </c>
      <c r="C16" s="30"/>
      <c r="D16" s="30"/>
      <c r="E16" s="30" t="s">
        <v>73</v>
      </c>
      <c r="F16" s="30" t="s">
        <v>83</v>
      </c>
      <c r="G16" s="30">
        <v>0</v>
      </c>
      <c r="H16" s="30"/>
      <c r="I16" s="30"/>
      <c r="J16" s="30"/>
      <c r="K16" s="30"/>
      <c r="L16" s="30"/>
      <c r="M16" s="30"/>
      <c r="N16" s="30"/>
      <c r="O16" s="30"/>
    </row>
    <row r="17" customFormat="1" spans="1:15">
      <c r="A17" t="s">
        <v>463</v>
      </c>
      <c r="B17" s="33">
        <v>3.6</v>
      </c>
      <c r="C17" s="30"/>
      <c r="D17" s="30"/>
      <c r="E17" s="30" t="s">
        <v>73</v>
      </c>
      <c r="F17" s="30" t="s">
        <v>83</v>
      </c>
      <c r="G17" s="30">
        <v>1</v>
      </c>
      <c r="H17" s="30"/>
      <c r="I17" s="30"/>
      <c r="J17" s="30"/>
      <c r="K17" s="30"/>
      <c r="L17" s="31">
        <v>0.3</v>
      </c>
      <c r="M17" s="30"/>
      <c r="N17" s="30"/>
      <c r="O17" s="30"/>
    </row>
    <row r="18" customFormat="1" spans="1:15">
      <c r="A18" t="s">
        <v>464</v>
      </c>
      <c r="B18" s="33">
        <v>4</v>
      </c>
      <c r="C18" s="30"/>
      <c r="D18" s="30"/>
      <c r="E18" s="30" t="s">
        <v>73</v>
      </c>
      <c r="F18" s="30" t="s">
        <v>83</v>
      </c>
      <c r="G18" s="30">
        <v>0</v>
      </c>
      <c r="H18" s="30"/>
      <c r="I18" s="30"/>
      <c r="J18" s="30"/>
      <c r="K18" s="30"/>
      <c r="L18" s="30"/>
      <c r="M18" s="30"/>
      <c r="N18" s="30"/>
      <c r="O18" s="30"/>
    </row>
    <row r="19" customFormat="1" spans="1:15">
      <c r="A19" t="s">
        <v>465</v>
      </c>
      <c r="B19" s="33">
        <v>2.8</v>
      </c>
      <c r="C19" s="30"/>
      <c r="D19" s="30"/>
      <c r="E19" s="30" t="s">
        <v>73</v>
      </c>
      <c r="F19" s="30" t="s">
        <v>82</v>
      </c>
      <c r="G19" s="30">
        <v>0</v>
      </c>
      <c r="H19" s="30"/>
      <c r="I19" s="30"/>
      <c r="J19" s="30"/>
      <c r="K19" s="30"/>
      <c r="L19" s="30"/>
      <c r="M19" s="30"/>
      <c r="N19" s="30"/>
      <c r="O19" s="30"/>
    </row>
    <row r="20" customFormat="1" spans="1:15">
      <c r="A20" t="s">
        <v>466</v>
      </c>
      <c r="B20" s="33">
        <v>2.8</v>
      </c>
      <c r="C20" s="30"/>
      <c r="D20" s="30"/>
      <c r="E20" s="30" t="s">
        <v>73</v>
      </c>
      <c r="F20" s="30" t="s">
        <v>82</v>
      </c>
      <c r="G20" s="30">
        <v>0</v>
      </c>
      <c r="H20" s="30"/>
      <c r="I20" s="30"/>
      <c r="J20" s="30"/>
      <c r="K20" s="30"/>
      <c r="L20" s="31"/>
      <c r="M20" s="30"/>
      <c r="N20" s="31">
        <v>0.3</v>
      </c>
      <c r="O20" s="30"/>
    </row>
    <row r="21" customFormat="1" spans="1:15">
      <c r="A21" t="s">
        <v>467</v>
      </c>
      <c r="B21" s="33">
        <v>2.8</v>
      </c>
      <c r="C21" s="30"/>
      <c r="D21" s="30"/>
      <c r="E21" s="30" t="s">
        <v>73</v>
      </c>
      <c r="F21" s="30" t="s">
        <v>82</v>
      </c>
      <c r="G21" s="30">
        <v>1</v>
      </c>
      <c r="H21" s="30"/>
      <c r="I21" s="30"/>
      <c r="J21" s="30"/>
      <c r="K21" s="30"/>
      <c r="L21" s="31">
        <v>0.3</v>
      </c>
      <c r="M21" s="30"/>
      <c r="N21" s="31">
        <v>0.3</v>
      </c>
      <c r="O21" s="30"/>
    </row>
    <row r="22" customFormat="1" spans="1:15">
      <c r="A22" t="s">
        <v>468</v>
      </c>
      <c r="B22" s="33">
        <v>3.5</v>
      </c>
      <c r="C22" s="30"/>
      <c r="D22" s="30"/>
      <c r="E22" s="30" t="s">
        <v>73</v>
      </c>
      <c r="F22" s="30" t="s">
        <v>82</v>
      </c>
      <c r="G22" s="30">
        <v>0</v>
      </c>
      <c r="H22" s="30"/>
      <c r="I22" s="30"/>
      <c r="J22" s="30"/>
      <c r="K22" s="30"/>
      <c r="L22" s="30"/>
      <c r="M22" s="30"/>
      <c r="N22" s="30"/>
      <c r="O22" s="30"/>
    </row>
    <row r="23" customFormat="1" spans="1:15">
      <c r="A23" t="s">
        <v>469</v>
      </c>
      <c r="B23" s="33">
        <v>6.4</v>
      </c>
      <c r="C23" s="30"/>
      <c r="D23" s="30"/>
      <c r="E23" s="30" t="s">
        <v>73</v>
      </c>
      <c r="F23" s="30" t="s">
        <v>84</v>
      </c>
      <c r="G23" s="30">
        <v>0</v>
      </c>
      <c r="H23" s="30"/>
      <c r="I23" s="30"/>
      <c r="J23" s="30"/>
      <c r="K23" s="30"/>
      <c r="L23" s="30"/>
      <c r="M23" s="30"/>
      <c r="N23" s="31"/>
      <c r="O23" s="30"/>
    </row>
    <row r="24" customFormat="1" spans="1:15">
      <c r="A24" t="s">
        <v>470</v>
      </c>
      <c r="B24" s="33">
        <v>4.8</v>
      </c>
      <c r="C24" s="30"/>
      <c r="D24" s="30"/>
      <c r="E24" s="30" t="s">
        <v>73</v>
      </c>
      <c r="F24" s="30" t="s">
        <v>84</v>
      </c>
      <c r="G24" s="30">
        <v>0</v>
      </c>
      <c r="H24" s="30"/>
      <c r="I24" s="30"/>
      <c r="J24" s="30"/>
      <c r="K24" s="30"/>
      <c r="L24" s="30"/>
      <c r="M24" s="30"/>
      <c r="N24" s="31"/>
      <c r="O24" s="30"/>
    </row>
    <row r="25" customFormat="1" spans="1:15">
      <c r="A25" t="s">
        <v>471</v>
      </c>
      <c r="B25" s="33">
        <v>6.4</v>
      </c>
      <c r="C25" s="30"/>
      <c r="D25" s="30"/>
      <c r="E25" s="30" t="s">
        <v>73</v>
      </c>
      <c r="F25" s="30" t="s">
        <v>84</v>
      </c>
      <c r="G25" s="30">
        <v>0</v>
      </c>
      <c r="H25" s="30"/>
      <c r="I25" s="30"/>
      <c r="J25" s="30"/>
      <c r="K25" s="30"/>
      <c r="L25" s="30"/>
      <c r="M25" s="30"/>
      <c r="N25" s="31">
        <v>0.2</v>
      </c>
      <c r="O25" s="30"/>
    </row>
    <row r="26" customFormat="1" spans="1:15">
      <c r="A26" t="s">
        <v>472</v>
      </c>
      <c r="B26" s="33">
        <v>4.8</v>
      </c>
      <c r="C26" s="30"/>
      <c r="D26" s="30"/>
      <c r="E26" s="30" t="s">
        <v>73</v>
      </c>
      <c r="F26" s="30" t="s">
        <v>84</v>
      </c>
      <c r="G26" s="30">
        <v>0</v>
      </c>
      <c r="H26" s="30"/>
      <c r="I26" s="30"/>
      <c r="J26" s="30"/>
      <c r="K26" s="30"/>
      <c r="L26" s="30"/>
      <c r="M26" s="30"/>
      <c r="N26" s="31">
        <v>0.2</v>
      </c>
      <c r="O26" s="30"/>
    </row>
    <row r="27" customFormat="1" spans="1:15">
      <c r="A27" t="s">
        <v>473</v>
      </c>
      <c r="B27" s="33">
        <v>2.5</v>
      </c>
      <c r="C27" s="30"/>
      <c r="D27" s="30"/>
      <c r="E27" s="30" t="s">
        <v>73</v>
      </c>
      <c r="F27" s="30" t="s">
        <v>449</v>
      </c>
      <c r="G27" s="30">
        <v>0</v>
      </c>
      <c r="H27" s="30"/>
      <c r="I27" s="30"/>
      <c r="J27" s="30"/>
      <c r="K27" s="30"/>
      <c r="L27" s="30"/>
      <c r="M27" s="30"/>
      <c r="N27" s="30"/>
      <c r="O27" s="30"/>
    </row>
    <row r="28" customFormat="1" spans="1:15">
      <c r="A28" t="s">
        <v>474</v>
      </c>
      <c r="B28" s="33">
        <v>2.5</v>
      </c>
      <c r="C28" s="30"/>
      <c r="D28" s="30"/>
      <c r="E28" s="30" t="s">
        <v>73</v>
      </c>
      <c r="F28" s="30" t="s">
        <v>449</v>
      </c>
      <c r="G28" s="30">
        <v>1</v>
      </c>
      <c r="H28" s="30"/>
      <c r="I28" s="30"/>
      <c r="J28" s="30"/>
      <c r="K28" s="30"/>
      <c r="L28" s="31">
        <v>0.3</v>
      </c>
      <c r="M28" s="30"/>
      <c r="N28" s="30"/>
      <c r="O28" s="30"/>
    </row>
    <row r="29" spans="1:15">
      <c r="A29" t="s">
        <v>475</v>
      </c>
      <c r="B29" s="33">
        <v>10.44</v>
      </c>
      <c r="E29" s="30" t="s">
        <v>75</v>
      </c>
      <c r="F29" s="30" t="s">
        <v>81</v>
      </c>
      <c r="G29" s="30">
        <v>0</v>
      </c>
    </row>
    <row r="30" customFormat="1" spans="1:15">
      <c r="A30" t="s">
        <v>476</v>
      </c>
      <c r="B30" s="33">
        <v>3.3</v>
      </c>
      <c r="C30" s="30"/>
      <c r="D30" s="30"/>
      <c r="E30" s="30" t="s">
        <v>75</v>
      </c>
      <c r="F30" s="30" t="s">
        <v>82</v>
      </c>
      <c r="G30" s="30">
        <v>0</v>
      </c>
      <c r="H30" s="30"/>
      <c r="I30" s="30"/>
      <c r="J30" s="30"/>
      <c r="K30" s="30"/>
      <c r="L30" s="30"/>
      <c r="M30" s="30"/>
      <c r="N30" s="30"/>
      <c r="O30" s="30"/>
    </row>
    <row r="31" customFormat="1" spans="1:15">
      <c r="A31" t="s">
        <v>477</v>
      </c>
      <c r="B31" s="33">
        <v>3.7</v>
      </c>
      <c r="C31" s="30"/>
      <c r="D31" s="30"/>
      <c r="E31" s="30" t="s">
        <v>75</v>
      </c>
      <c r="F31" s="30" t="s">
        <v>82</v>
      </c>
      <c r="G31" s="30">
        <v>0</v>
      </c>
      <c r="H31" s="30"/>
      <c r="I31" s="30"/>
      <c r="J31" s="30"/>
      <c r="K31" s="30"/>
      <c r="L31" s="30"/>
      <c r="M31" s="30"/>
      <c r="N31" s="30"/>
      <c r="O31" s="30"/>
    </row>
    <row r="32" customFormat="1" spans="1:15">
      <c r="A32" t="s">
        <v>478</v>
      </c>
      <c r="B32" s="33">
        <v>9</v>
      </c>
      <c r="C32" s="30"/>
      <c r="D32" s="30"/>
      <c r="E32" s="30" t="s">
        <v>75</v>
      </c>
      <c r="F32" s="30" t="s">
        <v>82</v>
      </c>
      <c r="G32" s="30">
        <v>0</v>
      </c>
      <c r="H32" s="30"/>
      <c r="I32" s="30"/>
      <c r="J32" s="30"/>
      <c r="K32" s="30"/>
      <c r="L32" s="30"/>
      <c r="M32" s="30"/>
      <c r="N32" s="30"/>
      <c r="O32" s="30"/>
    </row>
    <row r="33" customFormat="1" spans="1:15">
      <c r="A33" t="s">
        <v>479</v>
      </c>
      <c r="B33" s="33">
        <v>1.4</v>
      </c>
      <c r="C33" s="30"/>
      <c r="D33" s="30"/>
      <c r="E33" s="30" t="s">
        <v>75</v>
      </c>
      <c r="F33" s="30" t="s">
        <v>82</v>
      </c>
      <c r="G33" s="30">
        <v>0</v>
      </c>
      <c r="H33" s="30"/>
      <c r="I33" s="30"/>
      <c r="J33" s="30"/>
      <c r="K33" s="30"/>
      <c r="L33" s="30"/>
      <c r="M33" s="30"/>
      <c r="N33" s="30"/>
      <c r="O33" s="30"/>
    </row>
    <row r="34" customFormat="1" spans="1:15">
      <c r="A34" t="s">
        <v>480</v>
      </c>
      <c r="B34" s="33">
        <v>7.7</v>
      </c>
      <c r="C34" s="30"/>
      <c r="D34" s="30"/>
      <c r="E34" s="30" t="s">
        <v>75</v>
      </c>
      <c r="F34" s="30" t="s">
        <v>82</v>
      </c>
      <c r="G34" s="30">
        <v>0</v>
      </c>
      <c r="H34" s="30"/>
      <c r="I34" s="30"/>
      <c r="J34" s="30"/>
      <c r="K34" s="30"/>
      <c r="L34" s="30"/>
      <c r="M34" s="30"/>
      <c r="N34" s="30"/>
      <c r="O34" s="30"/>
    </row>
    <row r="35" customFormat="1" spans="1:15">
      <c r="A35" t="s">
        <v>481</v>
      </c>
      <c r="B35" s="33">
        <v>4.32</v>
      </c>
      <c r="C35" s="30"/>
      <c r="D35" s="30"/>
      <c r="E35" s="30" t="s">
        <v>75</v>
      </c>
      <c r="F35" s="30" t="s">
        <v>83</v>
      </c>
      <c r="G35" s="30">
        <v>0</v>
      </c>
      <c r="H35" s="30"/>
      <c r="I35" s="30"/>
      <c r="J35" s="30"/>
      <c r="K35" s="30"/>
      <c r="L35" s="30"/>
      <c r="M35" s="30"/>
      <c r="N35" s="30"/>
      <c r="O35" s="30"/>
    </row>
    <row r="36" customFormat="1" spans="1:15">
      <c r="A36" t="s">
        <v>482</v>
      </c>
      <c r="B36" s="33">
        <v>2.82</v>
      </c>
      <c r="C36" s="30"/>
      <c r="D36" s="30"/>
      <c r="E36" s="30" t="s">
        <v>75</v>
      </c>
      <c r="F36" s="30" t="s">
        <v>81</v>
      </c>
      <c r="G36" s="30">
        <v>0</v>
      </c>
      <c r="H36" s="30"/>
      <c r="I36" s="30"/>
      <c r="J36" s="30"/>
      <c r="K36" s="30"/>
      <c r="L36" s="30"/>
      <c r="M36" s="30"/>
      <c r="N36" s="30"/>
      <c r="O36" s="30"/>
    </row>
    <row r="37" customFormat="1" spans="1:15">
      <c r="A37" t="s">
        <v>483</v>
      </c>
      <c r="B37" s="33">
        <v>7.2</v>
      </c>
      <c r="C37" s="30"/>
      <c r="D37" s="30"/>
      <c r="E37" s="30" t="s">
        <v>75</v>
      </c>
      <c r="F37" s="30" t="s">
        <v>81</v>
      </c>
      <c r="G37" s="30">
        <v>0</v>
      </c>
      <c r="H37" s="30"/>
      <c r="I37" s="30"/>
      <c r="J37" s="30"/>
      <c r="K37" s="30"/>
      <c r="L37" s="30"/>
      <c r="M37" s="30"/>
      <c r="N37" s="30"/>
      <c r="O37" s="30"/>
    </row>
    <row r="38" customFormat="1" spans="1:15">
      <c r="A38" t="s">
        <v>484</v>
      </c>
      <c r="B38" s="33">
        <v>0.24</v>
      </c>
      <c r="C38" s="30"/>
      <c r="D38" s="30"/>
      <c r="E38" s="30" t="s">
        <v>75</v>
      </c>
      <c r="F38" s="30" t="s">
        <v>449</v>
      </c>
      <c r="G38" s="30">
        <v>0</v>
      </c>
      <c r="H38" s="30">
        <v>1</v>
      </c>
      <c r="I38" s="30"/>
      <c r="J38" s="30"/>
      <c r="K38" s="30"/>
      <c r="L38" s="30"/>
      <c r="M38" s="30"/>
      <c r="N38" s="30"/>
      <c r="O38" s="30">
        <f>89/196</f>
        <v>0.454081632653061</v>
      </c>
    </row>
    <row r="39" customFormat="1" spans="1:15">
      <c r="A39" t="s">
        <v>485</v>
      </c>
      <c r="B39" s="33">
        <v>0.86</v>
      </c>
      <c r="C39" s="30"/>
      <c r="D39" s="30"/>
      <c r="E39" s="30" t="s">
        <v>73</v>
      </c>
      <c r="F39" s="30" t="s">
        <v>82</v>
      </c>
      <c r="G39" s="30">
        <v>0</v>
      </c>
      <c r="H39" s="30"/>
      <c r="I39" s="30"/>
      <c r="J39" s="30"/>
      <c r="K39" s="30"/>
      <c r="L39" s="30"/>
      <c r="M39" s="30"/>
      <c r="N39" s="30"/>
      <c r="O39" s="30"/>
    </row>
    <row r="40" customFormat="1" spans="1:15">
      <c r="A40" t="s">
        <v>486</v>
      </c>
      <c r="B40" s="33">
        <v>0.86</v>
      </c>
      <c r="C40" s="30"/>
      <c r="D40" s="30"/>
      <c r="E40" s="30" t="s">
        <v>73</v>
      </c>
      <c r="F40" s="30" t="s">
        <v>82</v>
      </c>
      <c r="G40" s="30">
        <v>0</v>
      </c>
      <c r="H40" s="30"/>
      <c r="I40" s="30"/>
      <c r="J40" s="30"/>
      <c r="K40" s="30"/>
      <c r="L40" s="30"/>
      <c r="M40" s="30"/>
      <c r="N40" s="30"/>
      <c r="O40" s="30"/>
    </row>
    <row r="41" customFormat="1" spans="1:15">
      <c r="A41" t="s">
        <v>487</v>
      </c>
      <c r="B41" s="33">
        <v>2.68</v>
      </c>
      <c r="C41" s="30"/>
      <c r="D41" s="30"/>
      <c r="E41" s="30" t="s">
        <v>73</v>
      </c>
      <c r="F41" s="30" t="s">
        <v>82</v>
      </c>
      <c r="G41" s="30">
        <v>0</v>
      </c>
      <c r="H41" s="30"/>
      <c r="I41" s="30"/>
      <c r="J41" s="30"/>
      <c r="K41" s="30"/>
      <c r="L41" s="30"/>
      <c r="M41" s="30"/>
      <c r="N41" s="30"/>
      <c r="O41" s="30"/>
    </row>
    <row r="42" customFormat="1" spans="1:15">
      <c r="A42" t="s">
        <v>488</v>
      </c>
      <c r="B42" s="33">
        <v>0.86</v>
      </c>
      <c r="C42" s="30"/>
      <c r="D42" s="30"/>
      <c r="E42" s="30" t="s">
        <v>73</v>
      </c>
      <c r="F42" s="30" t="s">
        <v>82</v>
      </c>
      <c r="G42" s="30">
        <v>1</v>
      </c>
      <c r="H42" s="30"/>
      <c r="I42" s="30"/>
      <c r="J42" s="30"/>
      <c r="K42" s="30"/>
      <c r="L42" s="31">
        <v>0.3</v>
      </c>
      <c r="M42" s="30"/>
      <c r="N42" s="30"/>
      <c r="O42" s="30"/>
    </row>
    <row r="43" customFormat="1" spans="1:15">
      <c r="A43" t="s">
        <v>489</v>
      </c>
      <c r="B43" s="33">
        <v>0.86</v>
      </c>
      <c r="C43" s="30"/>
      <c r="D43" s="30"/>
      <c r="E43" s="30" t="s">
        <v>73</v>
      </c>
      <c r="F43" s="30" t="s">
        <v>82</v>
      </c>
      <c r="G43" s="30">
        <v>1</v>
      </c>
      <c r="H43" s="30"/>
      <c r="I43" s="30"/>
      <c r="J43" s="30"/>
      <c r="K43" s="30"/>
      <c r="L43" s="31">
        <v>0.3</v>
      </c>
      <c r="M43" s="30"/>
      <c r="N43" s="30"/>
      <c r="O43" s="30"/>
    </row>
    <row r="44" customFormat="1" spans="1:15">
      <c r="A44" t="s">
        <v>490</v>
      </c>
      <c r="B44" s="33">
        <v>2.68</v>
      </c>
      <c r="C44" s="30"/>
      <c r="D44" s="30"/>
      <c r="E44" s="30" t="s">
        <v>73</v>
      </c>
      <c r="F44" s="30" t="s">
        <v>82</v>
      </c>
      <c r="G44" s="30">
        <v>1</v>
      </c>
      <c r="H44" s="30"/>
      <c r="I44" s="30"/>
      <c r="J44" s="30"/>
      <c r="K44" s="30"/>
      <c r="L44" s="31">
        <v>0.3</v>
      </c>
      <c r="M44" s="30"/>
      <c r="N44" s="30"/>
      <c r="O44" s="30"/>
    </row>
    <row r="45" customFormat="1" spans="1:15">
      <c r="A45" t="s">
        <v>491</v>
      </c>
      <c r="B45" s="33">
        <v>2.81</v>
      </c>
      <c r="C45" s="30"/>
      <c r="D45" s="30"/>
      <c r="E45" s="30" t="s">
        <v>73</v>
      </c>
      <c r="F45" s="30" t="s">
        <v>81</v>
      </c>
      <c r="G45" s="30">
        <v>1</v>
      </c>
      <c r="H45" s="30"/>
      <c r="I45" s="30"/>
      <c r="J45" s="30"/>
      <c r="K45" s="30"/>
      <c r="L45" s="31">
        <v>0.3</v>
      </c>
      <c r="M45" s="30"/>
      <c r="N45" s="30"/>
      <c r="O45" s="30"/>
    </row>
    <row r="46" customFormat="1" spans="1:15">
      <c r="A46" t="s">
        <v>492</v>
      </c>
      <c r="B46" s="33">
        <v>14</v>
      </c>
      <c r="C46" s="30"/>
      <c r="D46" s="30"/>
      <c r="E46" s="30" t="s">
        <v>73</v>
      </c>
      <c r="F46" s="30" t="s">
        <v>84</v>
      </c>
      <c r="G46" s="30">
        <v>1</v>
      </c>
      <c r="H46" s="30"/>
      <c r="I46" s="30"/>
      <c r="J46" s="30"/>
      <c r="K46" s="30"/>
      <c r="L46" s="31">
        <v>0.3</v>
      </c>
      <c r="M46" s="30"/>
      <c r="N46" s="31">
        <v>0.2</v>
      </c>
      <c r="O46" s="30"/>
    </row>
    <row r="47" customFormat="1" spans="1:15">
      <c r="A47" t="s">
        <v>62</v>
      </c>
      <c r="B47" s="33">
        <v>1.2</v>
      </c>
      <c r="C47" s="30"/>
      <c r="D47" s="30"/>
      <c r="E47" s="30" t="s">
        <v>73</v>
      </c>
      <c r="F47" s="30" t="s">
        <v>449</v>
      </c>
      <c r="G47" s="30">
        <v>0</v>
      </c>
      <c r="H47" s="30"/>
      <c r="I47" s="30"/>
      <c r="J47" s="30"/>
      <c r="K47" s="30"/>
      <c r="L47" s="31"/>
      <c r="M47" s="30"/>
      <c r="N47" s="30"/>
      <c r="O47" s="30">
        <f>89/392</f>
        <v>0.227040816326531</v>
      </c>
    </row>
    <row r="48" customFormat="1" spans="1:15">
      <c r="A48" t="s">
        <v>493</v>
      </c>
      <c r="B48" s="33">
        <v>1.2</v>
      </c>
      <c r="C48" s="30"/>
      <c r="D48" s="30"/>
      <c r="E48" s="30" t="s">
        <v>73</v>
      </c>
      <c r="F48" s="30" t="s">
        <v>449</v>
      </c>
      <c r="G48" s="30">
        <v>1</v>
      </c>
      <c r="H48" s="30"/>
      <c r="I48" s="30"/>
      <c r="J48" s="30"/>
      <c r="K48" s="30"/>
      <c r="L48" s="31">
        <v>0.3</v>
      </c>
      <c r="M48" s="30"/>
      <c r="N48" s="30"/>
      <c r="O48" s="30">
        <f>89/392</f>
        <v>0.227040816326531</v>
      </c>
    </row>
    <row r="49" customFormat="1" spans="1:15">
      <c r="A49" t="s">
        <v>494</v>
      </c>
      <c r="B49" s="33">
        <v>1</v>
      </c>
      <c r="C49" s="30"/>
      <c r="D49" s="30"/>
      <c r="E49" s="30" t="s">
        <v>73</v>
      </c>
      <c r="F49" s="30" t="s">
        <v>449</v>
      </c>
      <c r="G49" s="30">
        <v>1</v>
      </c>
      <c r="H49" s="30"/>
      <c r="I49" s="30"/>
      <c r="J49" s="30"/>
      <c r="K49" s="30"/>
      <c r="L49" s="31">
        <v>0.3</v>
      </c>
      <c r="M49" s="30"/>
      <c r="N49" s="30"/>
      <c r="O49" s="30"/>
    </row>
    <row r="50" customFormat="1" spans="1:15">
      <c r="A50" t="s">
        <v>495</v>
      </c>
      <c r="B50" s="33">
        <v>3.84</v>
      </c>
      <c r="C50" s="30"/>
      <c r="D50" s="30"/>
      <c r="E50" s="30" t="s">
        <v>73</v>
      </c>
      <c r="F50" s="30" t="s">
        <v>83</v>
      </c>
      <c r="G50" s="30">
        <v>1</v>
      </c>
      <c r="H50" s="30"/>
      <c r="I50" s="30"/>
      <c r="J50" s="30"/>
      <c r="K50" s="30"/>
      <c r="L50" s="31">
        <v>0.3</v>
      </c>
      <c r="M50" s="30"/>
      <c r="N50" s="30"/>
      <c r="O50" s="30"/>
    </row>
    <row r="51" customFormat="1" spans="1:15">
      <c r="A51" t="s">
        <v>496</v>
      </c>
      <c r="B51" s="33">
        <v>0.2</v>
      </c>
      <c r="C51" s="30"/>
      <c r="D51" s="31"/>
      <c r="E51" s="30" t="s">
        <v>78</v>
      </c>
      <c r="F51" s="30" t="s">
        <v>81</v>
      </c>
      <c r="G51" s="30">
        <v>0</v>
      </c>
      <c r="H51" s="30"/>
      <c r="I51" s="30"/>
      <c r="J51" s="30"/>
      <c r="K51" s="30"/>
      <c r="L51" s="30"/>
      <c r="M51" s="30"/>
      <c r="N51" s="30"/>
      <c r="O51" s="30"/>
    </row>
    <row r="52" customFormat="1" spans="1:15">
      <c r="A52" t="s">
        <v>497</v>
      </c>
      <c r="B52" s="33">
        <v>3</v>
      </c>
      <c r="C52" s="30"/>
      <c r="D52" s="31"/>
      <c r="E52" s="30" t="s">
        <v>78</v>
      </c>
      <c r="F52" s="30" t="s">
        <v>81</v>
      </c>
      <c r="G52" s="30">
        <v>0</v>
      </c>
      <c r="H52" s="30"/>
      <c r="I52" s="30"/>
      <c r="J52" s="30"/>
      <c r="K52" s="30"/>
      <c r="L52" s="30"/>
      <c r="M52" s="30"/>
      <c r="N52" s="30"/>
      <c r="O52" s="30"/>
    </row>
    <row r="53" customFormat="1" spans="1:15">
      <c r="A53" t="s">
        <v>498</v>
      </c>
      <c r="B53" s="33">
        <v>6</v>
      </c>
      <c r="C53" s="30"/>
      <c r="D53" s="31"/>
      <c r="E53" s="30" t="s">
        <v>78</v>
      </c>
      <c r="F53" s="30" t="s">
        <v>81</v>
      </c>
      <c r="G53" s="30">
        <v>0</v>
      </c>
      <c r="H53" s="30"/>
      <c r="I53" s="30"/>
      <c r="J53" s="30"/>
      <c r="K53" s="30"/>
      <c r="L53" s="30"/>
      <c r="M53" s="30"/>
      <c r="N53" s="30"/>
      <c r="O53" s="30"/>
    </row>
    <row r="54" customFormat="1" spans="1:15">
      <c r="A54" t="s">
        <v>499</v>
      </c>
      <c r="B54" s="33">
        <v>6</v>
      </c>
      <c r="C54" s="30"/>
      <c r="D54" s="31"/>
      <c r="E54" s="30" t="s">
        <v>78</v>
      </c>
      <c r="F54" s="30" t="s">
        <v>82</v>
      </c>
      <c r="G54" s="30">
        <v>0</v>
      </c>
      <c r="H54" s="30"/>
      <c r="I54" s="30"/>
      <c r="J54" s="30"/>
      <c r="K54" s="30"/>
      <c r="L54" s="30"/>
      <c r="M54" s="30"/>
      <c r="N54" s="30"/>
      <c r="O54" s="30"/>
    </row>
    <row r="55" customFormat="1" spans="1:15">
      <c r="A55" t="s">
        <v>500</v>
      </c>
      <c r="B55" s="33">
        <v>8</v>
      </c>
      <c r="C55" s="30"/>
      <c r="D55" s="31"/>
      <c r="E55" s="30" t="s">
        <v>78</v>
      </c>
      <c r="F55" s="30" t="s">
        <v>82</v>
      </c>
      <c r="G55" s="30">
        <v>0</v>
      </c>
      <c r="H55" s="30"/>
      <c r="I55" s="30"/>
      <c r="J55" s="30"/>
      <c r="K55" s="30"/>
      <c r="L55" s="30"/>
      <c r="M55" s="30"/>
      <c r="N55" s="30"/>
      <c r="O55" s="30"/>
    </row>
    <row r="56" customFormat="1" spans="1:15">
      <c r="A56" t="s">
        <v>501</v>
      </c>
      <c r="B56" s="33">
        <v>10</v>
      </c>
      <c r="C56" s="30"/>
      <c r="D56" s="31"/>
      <c r="E56" s="30" t="s">
        <v>78</v>
      </c>
      <c r="F56" s="30" t="s">
        <v>82</v>
      </c>
      <c r="G56" s="30">
        <v>0</v>
      </c>
      <c r="H56" s="30"/>
      <c r="I56" s="30"/>
      <c r="J56" s="30"/>
      <c r="K56" s="30"/>
      <c r="L56" s="30"/>
      <c r="M56" s="30"/>
      <c r="N56" s="30"/>
      <c r="O56" s="30"/>
    </row>
    <row r="57" customFormat="1" spans="1:15">
      <c r="A57" t="s">
        <v>502</v>
      </c>
      <c r="B57" s="33">
        <v>3.99</v>
      </c>
      <c r="C57" s="30"/>
      <c r="D57" s="30"/>
      <c r="E57" s="30" t="s">
        <v>78</v>
      </c>
      <c r="F57" s="30" t="s">
        <v>81</v>
      </c>
      <c r="G57" s="30">
        <v>0</v>
      </c>
      <c r="H57" s="30"/>
      <c r="I57" s="30"/>
      <c r="J57" s="30"/>
      <c r="K57" s="30"/>
      <c r="L57" s="30"/>
      <c r="M57" s="30"/>
      <c r="N57" s="30"/>
      <c r="O57" s="30"/>
    </row>
    <row r="58" customFormat="1" spans="1:15">
      <c r="A58" t="s">
        <v>503</v>
      </c>
      <c r="B58" s="33">
        <v>1.26</v>
      </c>
      <c r="C58" s="30"/>
      <c r="D58" s="30"/>
      <c r="E58" s="30" t="s">
        <v>78</v>
      </c>
      <c r="F58" s="30" t="s">
        <v>81</v>
      </c>
      <c r="G58" s="30">
        <v>0</v>
      </c>
      <c r="H58" s="30"/>
      <c r="I58" s="30"/>
      <c r="J58" s="30"/>
      <c r="K58" s="30"/>
      <c r="L58" s="30"/>
      <c r="M58" s="30"/>
      <c r="N58" s="30"/>
      <c r="O58" s="30"/>
    </row>
    <row r="59" customFormat="1" spans="1:15">
      <c r="A59" t="s">
        <v>504</v>
      </c>
      <c r="B59" s="33">
        <v>1</v>
      </c>
      <c r="C59" s="30"/>
      <c r="D59" s="30"/>
      <c r="E59" s="30" t="s">
        <v>78</v>
      </c>
      <c r="F59" s="30" t="s">
        <v>81</v>
      </c>
      <c r="G59" s="30">
        <v>0</v>
      </c>
      <c r="H59" s="30"/>
      <c r="I59" s="30"/>
      <c r="J59" s="30"/>
      <c r="K59" s="30"/>
      <c r="L59" s="30"/>
      <c r="M59" s="30"/>
      <c r="N59" s="30"/>
      <c r="O59" s="30"/>
    </row>
    <row r="60" customFormat="1" spans="1:15">
      <c r="A60" t="s">
        <v>505</v>
      </c>
      <c r="B60" s="33">
        <v>2</v>
      </c>
      <c r="C60" s="30"/>
      <c r="D60" s="30"/>
      <c r="E60" s="30" t="s">
        <v>78</v>
      </c>
      <c r="F60" s="30" t="s">
        <v>81</v>
      </c>
      <c r="G60" s="30">
        <v>0</v>
      </c>
      <c r="H60" s="30"/>
      <c r="I60" s="30"/>
      <c r="J60" s="30"/>
      <c r="K60" s="30"/>
      <c r="L60" s="30"/>
      <c r="M60" s="30"/>
      <c r="N60" s="30"/>
      <c r="O60" s="30"/>
    </row>
    <row r="61" customFormat="1" spans="1:15">
      <c r="A61" t="s">
        <v>506</v>
      </c>
      <c r="B61" s="33">
        <v>12.8</v>
      </c>
      <c r="C61" s="30"/>
      <c r="D61" s="30"/>
      <c r="E61" s="30" t="s">
        <v>78</v>
      </c>
      <c r="F61" s="30" t="s">
        <v>83</v>
      </c>
      <c r="G61" s="30">
        <v>0</v>
      </c>
      <c r="H61" s="30"/>
      <c r="I61" s="30"/>
      <c r="J61" s="30"/>
      <c r="K61" s="30"/>
      <c r="L61" s="30"/>
      <c r="M61" s="30"/>
      <c r="N61" s="30"/>
      <c r="O61" s="30"/>
    </row>
    <row r="62" customFormat="1" spans="1:15">
      <c r="A62" t="s">
        <v>507</v>
      </c>
      <c r="B62" s="33">
        <v>16</v>
      </c>
      <c r="C62" s="30"/>
      <c r="D62" s="30"/>
      <c r="E62" s="30" t="s">
        <v>78</v>
      </c>
      <c r="F62" s="30" t="s">
        <v>84</v>
      </c>
      <c r="G62" s="30">
        <v>0</v>
      </c>
      <c r="H62" s="30"/>
      <c r="I62" s="30"/>
      <c r="J62" s="30"/>
      <c r="K62" s="30"/>
      <c r="L62" s="30"/>
      <c r="M62" s="30"/>
      <c r="N62" s="30"/>
      <c r="O62" s="30"/>
    </row>
    <row r="63" customFormat="1" spans="1:15">
      <c r="A63" t="s">
        <v>508</v>
      </c>
      <c r="B63" s="33">
        <v>3.2</v>
      </c>
      <c r="C63" s="30"/>
      <c r="D63" s="30"/>
      <c r="E63" s="30" t="s">
        <v>78</v>
      </c>
      <c r="F63" s="30" t="s">
        <v>82</v>
      </c>
      <c r="G63" s="30">
        <v>0</v>
      </c>
      <c r="H63" s="30"/>
      <c r="I63" s="30"/>
      <c r="J63" s="30"/>
      <c r="K63" s="30"/>
      <c r="L63" s="30"/>
      <c r="M63" s="30"/>
      <c r="N63" s="30"/>
      <c r="O63" s="30"/>
    </row>
    <row r="64" customFormat="1" spans="1:15">
      <c r="A64" t="s">
        <v>509</v>
      </c>
      <c r="B64" s="33">
        <v>2.8</v>
      </c>
      <c r="C64" s="30"/>
      <c r="D64" s="30"/>
      <c r="E64" s="30" t="s">
        <v>78</v>
      </c>
      <c r="F64" s="30" t="s">
        <v>82</v>
      </c>
      <c r="G64" s="30">
        <v>0</v>
      </c>
      <c r="H64" s="30"/>
      <c r="I64" s="30"/>
      <c r="J64" s="30"/>
      <c r="K64" s="30"/>
      <c r="L64" s="30"/>
      <c r="M64" s="30"/>
      <c r="N64" s="30"/>
      <c r="O64" s="30"/>
    </row>
    <row r="65" customFormat="1" spans="1:15">
      <c r="A65" t="s">
        <v>510</v>
      </c>
      <c r="B65" s="33">
        <v>5.39</v>
      </c>
      <c r="C65" s="30"/>
      <c r="D65" s="30"/>
      <c r="E65" s="30" t="s">
        <v>73</v>
      </c>
      <c r="F65" s="30" t="s">
        <v>83</v>
      </c>
      <c r="G65" s="30">
        <v>0</v>
      </c>
      <c r="H65" s="30"/>
      <c r="I65" s="30"/>
      <c r="J65" s="30"/>
      <c r="K65" s="30"/>
      <c r="L65" s="30"/>
      <c r="M65" s="30"/>
      <c r="N65" s="30"/>
      <c r="O65" s="30"/>
    </row>
    <row r="66" customFormat="1" spans="1:15">
      <c r="A66" t="s">
        <v>511</v>
      </c>
      <c r="B66" s="33">
        <v>6.3</v>
      </c>
      <c r="C66" s="30"/>
      <c r="D66" s="30"/>
      <c r="E66" s="30" t="s">
        <v>73</v>
      </c>
      <c r="F66" s="30" t="s">
        <v>83</v>
      </c>
      <c r="G66" s="30">
        <v>0</v>
      </c>
      <c r="H66" s="30"/>
      <c r="I66" s="30"/>
      <c r="J66" s="30"/>
      <c r="K66" s="30"/>
      <c r="L66" s="30"/>
      <c r="M66" s="30"/>
      <c r="N66" s="30"/>
      <c r="O66" s="30"/>
    </row>
    <row r="67" customFormat="1" spans="1:15">
      <c r="A67" t="s">
        <v>512</v>
      </c>
      <c r="B67" s="33">
        <v>9.41</v>
      </c>
      <c r="C67" s="30"/>
      <c r="D67" s="30"/>
      <c r="E67" s="30" t="s">
        <v>73</v>
      </c>
      <c r="F67" s="30" t="s">
        <v>84</v>
      </c>
      <c r="G67" s="30">
        <v>0</v>
      </c>
      <c r="H67" s="30"/>
      <c r="I67" s="30"/>
      <c r="J67" s="30"/>
      <c r="K67" s="30"/>
      <c r="L67" s="30"/>
      <c r="M67" s="30"/>
      <c r="N67" s="30"/>
      <c r="O67" s="30"/>
    </row>
    <row r="68" customFormat="1" spans="1:15">
      <c r="A68" t="s">
        <v>513</v>
      </c>
      <c r="B68" s="33">
        <v>11</v>
      </c>
      <c r="C68" s="30"/>
      <c r="D68" s="30"/>
      <c r="E68" s="30" t="s">
        <v>73</v>
      </c>
      <c r="F68" s="30" t="s">
        <v>84</v>
      </c>
      <c r="G68" s="30">
        <v>0</v>
      </c>
      <c r="H68" s="30"/>
      <c r="I68" s="30"/>
      <c r="J68" s="30"/>
      <c r="K68" s="30"/>
      <c r="L68" s="30"/>
      <c r="M68" s="30"/>
      <c r="N68" s="30"/>
      <c r="O68" s="30"/>
    </row>
    <row r="69" customFormat="1" spans="1:15">
      <c r="A69" t="s">
        <v>514</v>
      </c>
      <c r="B69" s="33">
        <v>1.92</v>
      </c>
      <c r="C69" s="30"/>
      <c r="D69" s="30"/>
      <c r="E69" s="30" t="s">
        <v>73</v>
      </c>
      <c r="F69" s="30" t="s">
        <v>449</v>
      </c>
      <c r="G69" s="30">
        <v>0</v>
      </c>
      <c r="H69" s="30"/>
      <c r="I69" s="30"/>
      <c r="J69" s="30"/>
      <c r="K69" s="30"/>
      <c r="L69" s="30"/>
      <c r="M69" s="30"/>
      <c r="N69" s="30"/>
      <c r="O69" s="30"/>
    </row>
    <row r="70" customFormat="1" spans="1:15">
      <c r="A70" t="s">
        <v>515</v>
      </c>
      <c r="B70" s="33">
        <v>3.36</v>
      </c>
      <c r="C70" s="30"/>
      <c r="D70" s="30"/>
      <c r="E70" s="30" t="s">
        <v>73</v>
      </c>
      <c r="F70" s="30" t="s">
        <v>449</v>
      </c>
      <c r="G70" s="30">
        <v>0</v>
      </c>
      <c r="H70" s="30"/>
      <c r="I70" s="30"/>
      <c r="J70" s="30"/>
      <c r="K70" s="30"/>
      <c r="L70" s="30"/>
      <c r="M70" s="30"/>
      <c r="N70" s="30"/>
      <c r="O70" s="30"/>
    </row>
    <row r="71" customFormat="1" spans="1:15">
      <c r="A71" t="s">
        <v>516</v>
      </c>
      <c r="B71" s="33">
        <v>3</v>
      </c>
      <c r="C71" s="30"/>
      <c r="D71" s="30"/>
      <c r="E71" s="30" t="s">
        <v>78</v>
      </c>
      <c r="F71" s="30" t="s">
        <v>82</v>
      </c>
      <c r="G71" s="30">
        <v>0</v>
      </c>
      <c r="H71" s="30"/>
      <c r="I71" s="30"/>
      <c r="J71" s="30"/>
      <c r="K71" s="30"/>
      <c r="L71" s="30"/>
      <c r="M71" s="30"/>
      <c r="N71" s="30"/>
      <c r="O71" s="30"/>
    </row>
    <row r="72" customFormat="1" spans="1:15">
      <c r="A72" t="s">
        <v>517</v>
      </c>
      <c r="B72" s="33">
        <v>1.8</v>
      </c>
      <c r="C72" s="30"/>
      <c r="D72" s="30"/>
      <c r="E72" s="30" t="s">
        <v>78</v>
      </c>
      <c r="F72" s="30" t="s">
        <v>82</v>
      </c>
      <c r="G72" s="30">
        <v>0</v>
      </c>
      <c r="H72" s="30"/>
      <c r="I72" s="30"/>
      <c r="J72" s="30"/>
      <c r="K72" s="30"/>
      <c r="L72" s="30"/>
      <c r="M72" s="30"/>
      <c r="N72" s="30"/>
      <c r="O72" s="30"/>
    </row>
    <row r="73" customFormat="1" spans="1:15">
      <c r="A73" t="s">
        <v>518</v>
      </c>
      <c r="B73" s="33">
        <v>2.4</v>
      </c>
      <c r="C73" s="30"/>
      <c r="D73" s="30"/>
      <c r="E73" s="30" t="s">
        <v>78</v>
      </c>
      <c r="F73" s="30" t="s">
        <v>83</v>
      </c>
      <c r="G73" s="30">
        <v>0</v>
      </c>
      <c r="H73" s="30"/>
      <c r="I73" s="30"/>
      <c r="J73" s="30"/>
      <c r="K73" s="30"/>
      <c r="L73" s="30"/>
      <c r="M73" s="30"/>
      <c r="N73" s="30"/>
      <c r="O73" s="30"/>
    </row>
    <row r="74" customFormat="1" spans="1:15">
      <c r="A74" t="s">
        <v>519</v>
      </c>
      <c r="B74" s="33">
        <v>7</v>
      </c>
      <c r="C74" s="30"/>
      <c r="D74" s="30"/>
      <c r="E74" s="30" t="s">
        <v>78</v>
      </c>
      <c r="F74" s="30" t="s">
        <v>84</v>
      </c>
      <c r="G74" s="30">
        <v>0</v>
      </c>
      <c r="H74" s="30"/>
      <c r="I74" s="30"/>
      <c r="J74" s="30"/>
      <c r="K74" s="30"/>
      <c r="L74" s="30"/>
      <c r="M74" s="30"/>
      <c r="N74" s="30"/>
      <c r="O74" s="30"/>
    </row>
    <row r="75" customFormat="1" spans="1:15">
      <c r="A75" t="s">
        <v>520</v>
      </c>
      <c r="B75" s="33">
        <v>0.4</v>
      </c>
      <c r="C75" s="30"/>
      <c r="D75" s="30"/>
      <c r="E75" s="30" t="s">
        <v>78</v>
      </c>
      <c r="F75" s="30" t="s">
        <v>84</v>
      </c>
      <c r="G75" s="30">
        <v>0</v>
      </c>
      <c r="H75" s="30"/>
      <c r="I75" s="30"/>
      <c r="J75" s="30"/>
      <c r="K75" s="30"/>
      <c r="L75" s="30"/>
      <c r="M75" s="30"/>
      <c r="N75" s="30"/>
      <c r="O75" s="30"/>
    </row>
    <row r="76" customFormat="1" spans="1:15">
      <c r="A76" t="s">
        <v>521</v>
      </c>
      <c r="B76" s="33">
        <v>1.92</v>
      </c>
      <c r="C76" s="30"/>
      <c r="D76" s="30"/>
      <c r="E76" s="30" t="s">
        <v>73</v>
      </c>
      <c r="F76" s="30" t="s">
        <v>82</v>
      </c>
      <c r="G76" s="30">
        <v>0</v>
      </c>
      <c r="H76" s="30"/>
      <c r="I76" s="30"/>
      <c r="J76" s="30"/>
      <c r="K76" s="30"/>
      <c r="L76" s="30"/>
      <c r="M76" s="30"/>
      <c r="N76" s="30"/>
      <c r="O76" s="30"/>
    </row>
    <row r="77" customFormat="1" spans="1:15">
      <c r="A77" t="s">
        <v>522</v>
      </c>
      <c r="B77" s="33">
        <v>2.88</v>
      </c>
      <c r="C77" s="30"/>
      <c r="D77" s="30"/>
      <c r="E77" s="30" t="s">
        <v>75</v>
      </c>
      <c r="F77" s="30" t="s">
        <v>82</v>
      </c>
      <c r="G77" s="30">
        <v>0</v>
      </c>
      <c r="H77" s="30"/>
      <c r="I77" s="30"/>
      <c r="J77" s="30"/>
      <c r="K77" s="30"/>
      <c r="L77" s="30"/>
      <c r="M77" s="30"/>
      <c r="N77" s="30"/>
      <c r="O77" s="30"/>
    </row>
    <row r="78" customFormat="1" spans="1:15">
      <c r="A78" t="s">
        <v>523</v>
      </c>
      <c r="B78" s="33">
        <v>1.92</v>
      </c>
      <c r="C78" s="30"/>
      <c r="D78" s="30"/>
      <c r="E78" s="30" t="s">
        <v>73</v>
      </c>
      <c r="F78" s="30" t="s">
        <v>82</v>
      </c>
      <c r="G78" s="30">
        <v>0</v>
      </c>
      <c r="H78" s="30"/>
      <c r="I78" s="30"/>
      <c r="J78" s="30"/>
      <c r="K78" s="30"/>
      <c r="L78" s="30"/>
      <c r="M78" s="30"/>
      <c r="N78" s="30"/>
      <c r="O78" s="31">
        <v>0.15</v>
      </c>
    </row>
    <row r="79" customFormat="1" spans="1:15">
      <c r="A79" t="s">
        <v>524</v>
      </c>
      <c r="B79" s="33">
        <v>2.88</v>
      </c>
      <c r="C79" s="30"/>
      <c r="D79" s="30"/>
      <c r="E79" s="30" t="s">
        <v>75</v>
      </c>
      <c r="F79" s="30" t="s">
        <v>82</v>
      </c>
      <c r="G79" s="30">
        <v>0</v>
      </c>
      <c r="H79" s="30"/>
      <c r="I79" s="30"/>
      <c r="J79" s="30"/>
      <c r="K79" s="30"/>
      <c r="L79" s="30"/>
      <c r="M79" s="30"/>
      <c r="N79" s="30"/>
      <c r="O79" s="31">
        <v>0.15</v>
      </c>
    </row>
    <row r="80" customFormat="1" spans="1:15">
      <c r="A80" t="s">
        <v>525</v>
      </c>
      <c r="B80" s="33">
        <v>1.5</v>
      </c>
      <c r="C80" s="31"/>
      <c r="D80" s="31"/>
      <c r="E80" s="30" t="s">
        <v>73</v>
      </c>
      <c r="F80" s="30" t="s">
        <v>83</v>
      </c>
      <c r="G80" s="30">
        <v>0</v>
      </c>
      <c r="H80" s="30"/>
      <c r="I80" s="30"/>
      <c r="J80" s="30"/>
      <c r="K80" s="30"/>
      <c r="L80" s="30"/>
      <c r="M80" s="30"/>
      <c r="N80" s="30"/>
      <c r="O80" s="30"/>
    </row>
    <row r="81" customFormat="1" spans="1:15">
      <c r="A81" t="s">
        <v>526</v>
      </c>
      <c r="B81" s="33">
        <v>3</v>
      </c>
      <c r="C81" s="31"/>
      <c r="D81" s="31"/>
      <c r="E81" s="30" t="s">
        <v>73</v>
      </c>
      <c r="F81" s="30" t="s">
        <v>83</v>
      </c>
      <c r="G81" s="30">
        <v>0</v>
      </c>
      <c r="H81" s="30"/>
      <c r="I81" s="30"/>
      <c r="J81" s="30"/>
      <c r="K81" s="30"/>
      <c r="L81" s="30"/>
      <c r="M81" s="30"/>
      <c r="N81" s="30"/>
      <c r="O81" s="30"/>
    </row>
    <row r="82" customFormat="1" spans="1:15">
      <c r="A82" t="s">
        <v>527</v>
      </c>
      <c r="B82" s="33">
        <v>1.8</v>
      </c>
      <c r="C82" s="30"/>
      <c r="D82" s="30"/>
      <c r="E82" s="30" t="s">
        <v>73</v>
      </c>
      <c r="F82" s="30" t="s">
        <v>83</v>
      </c>
      <c r="G82" s="30">
        <v>0</v>
      </c>
      <c r="H82" s="30"/>
      <c r="I82" s="30"/>
      <c r="J82" s="30"/>
      <c r="K82" s="30"/>
      <c r="L82" s="30"/>
      <c r="M82" s="30"/>
      <c r="N82" s="30"/>
      <c r="O82" s="30"/>
    </row>
    <row r="83" customFormat="1" spans="1:15">
      <c r="A83" t="s">
        <v>528</v>
      </c>
      <c r="B83" s="33">
        <v>1.5</v>
      </c>
      <c r="C83" s="31"/>
      <c r="D83" s="31"/>
      <c r="E83" s="30" t="s">
        <v>73</v>
      </c>
      <c r="F83" s="30" t="s">
        <v>83</v>
      </c>
      <c r="G83" s="30">
        <v>0</v>
      </c>
      <c r="H83" s="30"/>
      <c r="I83" s="30"/>
      <c r="J83" s="30"/>
      <c r="K83" s="30"/>
      <c r="L83" s="30"/>
      <c r="M83" s="30"/>
      <c r="N83" s="30"/>
      <c r="O83" s="31">
        <v>0.15</v>
      </c>
    </row>
    <row r="84" customFormat="1" spans="1:15">
      <c r="A84" t="s">
        <v>529</v>
      </c>
      <c r="B84" s="33">
        <v>3</v>
      </c>
      <c r="C84" s="31"/>
      <c r="D84" s="31"/>
      <c r="E84" s="30" t="s">
        <v>73</v>
      </c>
      <c r="F84" s="30" t="s">
        <v>83</v>
      </c>
      <c r="G84" s="30">
        <v>0</v>
      </c>
      <c r="H84" s="30"/>
      <c r="I84" s="30"/>
      <c r="J84" s="30"/>
      <c r="K84" s="30"/>
      <c r="L84" s="30"/>
      <c r="M84" s="30"/>
      <c r="N84" s="30"/>
      <c r="O84" s="31">
        <v>0.15</v>
      </c>
    </row>
    <row r="85" customFormat="1" spans="1:15">
      <c r="A85" t="s">
        <v>530</v>
      </c>
      <c r="B85" s="33">
        <v>1.8</v>
      </c>
      <c r="C85" s="30"/>
      <c r="D85" s="30"/>
      <c r="E85" s="30" t="s">
        <v>73</v>
      </c>
      <c r="F85" s="30" t="s">
        <v>83</v>
      </c>
      <c r="G85" s="30">
        <v>0</v>
      </c>
      <c r="H85" s="30"/>
      <c r="I85" s="30"/>
      <c r="J85" s="30"/>
      <c r="K85" s="30"/>
      <c r="L85" s="30"/>
      <c r="M85" s="30"/>
      <c r="N85" s="30"/>
      <c r="O85" s="31">
        <v>0.15</v>
      </c>
    </row>
    <row r="86" customFormat="1" spans="1:15">
      <c r="A86" t="s">
        <v>531</v>
      </c>
      <c r="B86" s="33">
        <v>6</v>
      </c>
      <c r="C86" s="30"/>
      <c r="D86" s="31">
        <v>0.6</v>
      </c>
      <c r="E86" s="30" t="s">
        <v>75</v>
      </c>
      <c r="F86" s="30" t="s">
        <v>84</v>
      </c>
      <c r="G86" s="30">
        <v>0</v>
      </c>
      <c r="H86" s="30"/>
      <c r="I86" s="30"/>
      <c r="J86" s="30"/>
      <c r="K86" s="30"/>
      <c r="L86" s="30"/>
      <c r="M86" s="30"/>
      <c r="N86" s="30"/>
      <c r="O86" s="30"/>
    </row>
    <row r="87" customFormat="1" spans="1:15">
      <c r="A87" t="s">
        <v>532</v>
      </c>
      <c r="B87" s="33">
        <v>10</v>
      </c>
      <c r="C87" s="30"/>
      <c r="D87" s="31">
        <v>0.6</v>
      </c>
      <c r="E87" s="30" t="s">
        <v>75</v>
      </c>
      <c r="F87" s="30" t="s">
        <v>84</v>
      </c>
      <c r="G87" s="30">
        <v>0</v>
      </c>
      <c r="H87" s="30"/>
      <c r="I87" s="30"/>
      <c r="J87" s="30"/>
      <c r="K87" s="30"/>
      <c r="L87" s="30"/>
      <c r="M87" s="30"/>
      <c r="N87" s="30"/>
      <c r="O87" s="30"/>
    </row>
    <row r="88" customFormat="1" spans="1:15">
      <c r="A88" t="s">
        <v>533</v>
      </c>
      <c r="B88" s="33">
        <v>0.24</v>
      </c>
      <c r="C88" s="30"/>
      <c r="D88" s="31">
        <v>0.9</v>
      </c>
      <c r="E88" s="30" t="s">
        <v>75</v>
      </c>
      <c r="F88" s="30" t="s">
        <v>84</v>
      </c>
      <c r="G88" s="30">
        <v>0</v>
      </c>
      <c r="H88" s="30"/>
      <c r="I88" s="30"/>
      <c r="J88" s="30"/>
      <c r="K88" s="30"/>
      <c r="L88" s="30"/>
      <c r="M88" s="30"/>
      <c r="N88" s="30"/>
      <c r="O88" s="31">
        <v>0.1</v>
      </c>
    </row>
    <row r="89" customFormat="1" spans="1:15">
      <c r="A89" t="s">
        <v>534</v>
      </c>
      <c r="B89" s="33">
        <v>6</v>
      </c>
      <c r="C89" s="30"/>
      <c r="D89" s="31">
        <v>0.9</v>
      </c>
      <c r="E89" s="30" t="s">
        <v>75</v>
      </c>
      <c r="F89" s="30" t="s">
        <v>84</v>
      </c>
      <c r="G89" s="30">
        <v>0</v>
      </c>
      <c r="H89" s="30"/>
      <c r="I89" s="30"/>
      <c r="J89" s="30"/>
      <c r="K89" s="30"/>
      <c r="L89" s="30"/>
      <c r="M89" s="30"/>
      <c r="N89" s="30"/>
      <c r="O89" s="31">
        <v>0.1</v>
      </c>
    </row>
    <row r="90" customFormat="1" spans="1:15">
      <c r="A90" t="s">
        <v>535</v>
      </c>
      <c r="B90" s="33">
        <v>2.5</v>
      </c>
      <c r="C90" s="30"/>
      <c r="D90" s="31">
        <v>0.9</v>
      </c>
      <c r="E90" s="30" t="s">
        <v>75</v>
      </c>
      <c r="F90" s="30" t="s">
        <v>84</v>
      </c>
      <c r="G90" s="30">
        <v>0</v>
      </c>
      <c r="H90" s="30"/>
      <c r="I90" s="30"/>
      <c r="J90" s="30"/>
      <c r="K90" s="30"/>
      <c r="L90" s="30"/>
      <c r="M90" s="30"/>
      <c r="N90" s="30"/>
      <c r="O90" s="31">
        <v>0.1</v>
      </c>
    </row>
    <row r="91" customFormat="1" spans="1:15">
      <c r="A91" t="s">
        <v>536</v>
      </c>
      <c r="B91" s="33">
        <v>7.5</v>
      </c>
      <c r="C91" s="30"/>
      <c r="D91" s="31">
        <v>0.9</v>
      </c>
      <c r="E91" s="30" t="s">
        <v>75</v>
      </c>
      <c r="F91" s="30" t="s">
        <v>84</v>
      </c>
      <c r="G91" s="30">
        <v>0</v>
      </c>
      <c r="H91" s="30"/>
      <c r="I91" s="30"/>
      <c r="J91" s="30"/>
      <c r="K91" s="30"/>
      <c r="L91" s="30"/>
      <c r="M91" s="30"/>
      <c r="N91" s="30"/>
      <c r="O91" s="31">
        <v>0.1</v>
      </c>
    </row>
    <row r="92" customFormat="1" spans="1:15">
      <c r="A92" t="s">
        <v>537</v>
      </c>
      <c r="B92" s="33">
        <v>0.24</v>
      </c>
      <c r="C92" s="30"/>
      <c r="D92" s="31"/>
      <c r="E92" s="30" t="s">
        <v>75</v>
      </c>
      <c r="F92" s="30" t="s">
        <v>449</v>
      </c>
      <c r="G92" s="30">
        <v>0</v>
      </c>
      <c r="H92" s="30"/>
      <c r="I92" s="30"/>
      <c r="J92" s="30"/>
      <c r="K92" s="30"/>
      <c r="L92" s="30"/>
      <c r="M92" s="30"/>
      <c r="N92" s="30"/>
      <c r="O92" s="31"/>
    </row>
    <row r="93" customFormat="1" spans="1:15">
      <c r="A93" t="s">
        <v>538</v>
      </c>
      <c r="B93" s="33">
        <v>0.32</v>
      </c>
      <c r="C93" s="30"/>
      <c r="D93" s="31"/>
      <c r="E93" s="30" t="s">
        <v>75</v>
      </c>
      <c r="F93" s="30" t="s">
        <v>449</v>
      </c>
      <c r="G93" s="30">
        <v>0</v>
      </c>
      <c r="H93" s="30"/>
      <c r="I93" s="30"/>
      <c r="J93" s="30"/>
      <c r="K93" s="30"/>
      <c r="L93" s="30"/>
      <c r="M93" s="30"/>
      <c r="N93" s="30"/>
      <c r="O93" s="31"/>
    </row>
    <row r="94" customFormat="1" spans="1:15">
      <c r="A94" t="s">
        <v>539</v>
      </c>
      <c r="B94" s="33">
        <v>0.24</v>
      </c>
      <c r="C94" s="30"/>
      <c r="D94" s="31"/>
      <c r="E94" s="30" t="s">
        <v>75</v>
      </c>
      <c r="F94" s="30" t="s">
        <v>449</v>
      </c>
      <c r="G94" s="30">
        <v>0</v>
      </c>
      <c r="H94" s="30"/>
      <c r="I94" s="30"/>
      <c r="J94" s="30"/>
      <c r="K94" s="30"/>
      <c r="L94" s="30"/>
      <c r="M94" s="30"/>
      <c r="N94" s="30"/>
      <c r="O94" s="31">
        <v>0.5</v>
      </c>
    </row>
    <row r="95" customFormat="1" spans="1:15">
      <c r="A95" t="s">
        <v>540</v>
      </c>
      <c r="B95" s="33">
        <v>0.32</v>
      </c>
      <c r="C95" s="30"/>
      <c r="D95" s="31"/>
      <c r="E95" s="30" t="s">
        <v>75</v>
      </c>
      <c r="F95" s="30" t="s">
        <v>449</v>
      </c>
      <c r="G95" s="30">
        <v>0</v>
      </c>
      <c r="H95" s="30"/>
      <c r="I95" s="30"/>
      <c r="J95" s="30"/>
      <c r="K95" s="30"/>
      <c r="L95" s="30"/>
      <c r="M95" s="30"/>
      <c r="N95" s="30"/>
      <c r="O95" s="31">
        <v>0.5</v>
      </c>
    </row>
    <row r="96" customFormat="1" spans="1:15">
      <c r="A96" t="s">
        <v>541</v>
      </c>
      <c r="B96" s="33">
        <v>0.3</v>
      </c>
      <c r="C96" s="30"/>
      <c r="D96" s="31"/>
      <c r="E96" s="30" t="s">
        <v>73</v>
      </c>
      <c r="F96" s="30" t="s">
        <v>449</v>
      </c>
      <c r="G96" s="30">
        <v>0</v>
      </c>
      <c r="H96" s="30"/>
      <c r="I96" s="30"/>
      <c r="J96" s="30"/>
      <c r="K96" s="30"/>
      <c r="L96" s="30"/>
      <c r="M96" s="30"/>
      <c r="N96" s="30"/>
      <c r="O96" s="31"/>
    </row>
    <row r="97" customFormat="1" spans="1:15">
      <c r="A97" t="s">
        <v>542</v>
      </c>
      <c r="B97" s="33">
        <v>4.13</v>
      </c>
      <c r="C97" s="31"/>
      <c r="D97" s="31"/>
      <c r="E97" s="30" t="s">
        <v>73</v>
      </c>
      <c r="F97" s="30" t="s">
        <v>81</v>
      </c>
      <c r="G97" s="30">
        <v>0</v>
      </c>
      <c r="H97" s="30"/>
      <c r="I97" s="30"/>
      <c r="J97" s="30"/>
      <c r="K97" s="30"/>
      <c r="L97" s="30"/>
      <c r="M97" s="30"/>
      <c r="N97" s="30"/>
      <c r="O97" s="31"/>
    </row>
    <row r="98" customFormat="1" spans="1:15">
      <c r="A98" t="s">
        <v>543</v>
      </c>
      <c r="B98" s="33">
        <v>0.61</v>
      </c>
      <c r="C98" s="30"/>
      <c r="D98" s="30"/>
      <c r="E98" s="30" t="s">
        <v>73</v>
      </c>
      <c r="F98" s="30" t="s">
        <v>81</v>
      </c>
      <c r="G98" s="30">
        <v>0</v>
      </c>
      <c r="H98" s="30"/>
      <c r="I98" s="30"/>
      <c r="J98" s="30"/>
      <c r="K98" s="30"/>
      <c r="L98" s="30"/>
      <c r="M98" s="31"/>
      <c r="N98" s="30"/>
      <c r="O98" s="31"/>
    </row>
    <row r="99" customFormat="1" spans="1:15">
      <c r="A99" t="s">
        <v>544</v>
      </c>
      <c r="B99" s="33">
        <v>0.355</v>
      </c>
      <c r="C99" s="30"/>
      <c r="D99" s="30"/>
      <c r="E99" s="30" t="s">
        <v>73</v>
      </c>
      <c r="F99" s="30" t="s">
        <v>81</v>
      </c>
      <c r="G99" s="30">
        <v>0</v>
      </c>
      <c r="H99" s="30"/>
      <c r="I99" s="30"/>
      <c r="J99" s="30"/>
      <c r="K99" s="30"/>
      <c r="L99" s="30"/>
      <c r="M99" s="31"/>
      <c r="N99" s="30"/>
      <c r="O99" s="31"/>
    </row>
    <row r="100" customFormat="1" spans="1:15">
      <c r="A100" t="s">
        <v>545</v>
      </c>
      <c r="B100" s="33">
        <v>0.54</v>
      </c>
      <c r="C100" s="30"/>
      <c r="D100" s="30"/>
      <c r="E100" s="30" t="s">
        <v>77</v>
      </c>
      <c r="F100" s="30" t="s">
        <v>82</v>
      </c>
      <c r="G100" s="30">
        <v>0</v>
      </c>
      <c r="H100" s="30"/>
      <c r="I100" s="30"/>
      <c r="J100" s="30"/>
      <c r="K100" s="30"/>
      <c r="L100" s="30"/>
      <c r="M100" s="31"/>
      <c r="N100" s="30"/>
      <c r="O100" s="31"/>
    </row>
    <row r="101" customFormat="1" spans="1:15">
      <c r="A101" t="s">
        <v>546</v>
      </c>
      <c r="B101" s="33">
        <f>54%*6</f>
        <v>3.24</v>
      </c>
      <c r="C101" s="30"/>
      <c r="D101" s="30"/>
      <c r="E101" s="30" t="s">
        <v>77</v>
      </c>
      <c r="F101" s="30" t="s">
        <v>82</v>
      </c>
      <c r="G101" s="30">
        <v>0</v>
      </c>
      <c r="H101" s="30"/>
      <c r="I101" s="30"/>
      <c r="J101" s="30"/>
      <c r="K101" s="30"/>
      <c r="L101" s="30"/>
      <c r="M101" s="31"/>
      <c r="N101" s="30"/>
      <c r="O101" s="31"/>
    </row>
    <row r="102" customFormat="1" spans="1:15">
      <c r="A102" t="s">
        <v>547</v>
      </c>
      <c r="B102" s="33">
        <v>0.99</v>
      </c>
      <c r="C102" s="30"/>
      <c r="D102" s="30"/>
      <c r="E102" s="30" t="s">
        <v>77</v>
      </c>
      <c r="F102" s="30" t="s">
        <v>82</v>
      </c>
      <c r="G102" s="30">
        <v>0</v>
      </c>
      <c r="H102" s="30"/>
      <c r="I102" s="30"/>
      <c r="J102" s="30"/>
      <c r="K102" s="30"/>
      <c r="L102" s="30"/>
      <c r="M102" s="31"/>
      <c r="N102" s="30"/>
      <c r="O102" s="31"/>
    </row>
    <row r="103" customFormat="1" spans="1:15">
      <c r="A103" t="s">
        <v>548</v>
      </c>
      <c r="B103" s="33">
        <v>5.94</v>
      </c>
      <c r="C103" s="30"/>
      <c r="D103" s="30"/>
      <c r="E103" s="30" t="s">
        <v>77</v>
      </c>
      <c r="F103" s="30" t="s">
        <v>82</v>
      </c>
      <c r="G103" s="30">
        <v>0</v>
      </c>
      <c r="H103" s="30"/>
      <c r="I103" s="30"/>
      <c r="J103" s="30"/>
      <c r="K103" s="30"/>
      <c r="L103" s="30"/>
      <c r="M103" s="31"/>
      <c r="N103" s="30"/>
      <c r="O103" s="31"/>
    </row>
    <row r="104" customFormat="1" spans="1:15">
      <c r="A104" t="s">
        <v>549</v>
      </c>
      <c r="B104" s="33">
        <v>1.17</v>
      </c>
      <c r="C104" s="30"/>
      <c r="D104" s="30"/>
      <c r="E104" s="30" t="s">
        <v>77</v>
      </c>
      <c r="F104" s="30" t="s">
        <v>82</v>
      </c>
      <c r="G104" s="30">
        <v>0</v>
      </c>
      <c r="H104" s="30"/>
      <c r="I104" s="30"/>
      <c r="J104" s="30"/>
      <c r="K104" s="30"/>
      <c r="L104" s="30"/>
      <c r="M104" s="31"/>
      <c r="N104" s="30"/>
      <c r="O104" s="31"/>
    </row>
    <row r="105" customFormat="1" spans="1:15">
      <c r="A105" t="s">
        <v>550</v>
      </c>
      <c r="B105" s="33">
        <f>117%*6</f>
        <v>7.02</v>
      </c>
      <c r="C105" s="30"/>
      <c r="D105" s="30"/>
      <c r="E105" s="30" t="s">
        <v>77</v>
      </c>
      <c r="F105" s="30" t="s">
        <v>82</v>
      </c>
      <c r="G105" s="30">
        <v>0</v>
      </c>
      <c r="H105" s="30"/>
      <c r="I105" s="30"/>
      <c r="J105" s="30"/>
      <c r="K105" s="30"/>
      <c r="L105" s="30"/>
      <c r="M105" s="31"/>
      <c r="N105" s="30"/>
      <c r="O105" s="31"/>
    </row>
    <row r="106" customFormat="1" spans="1:15">
      <c r="A106" t="s">
        <v>551</v>
      </c>
      <c r="B106" s="33">
        <f>81%+18%*3</f>
        <v>1.35</v>
      </c>
      <c r="C106" s="30"/>
      <c r="D106" s="30"/>
      <c r="E106" s="30" t="s">
        <v>77</v>
      </c>
      <c r="F106" s="30" t="s">
        <v>82</v>
      </c>
      <c r="G106" s="30">
        <v>0</v>
      </c>
      <c r="H106" s="30"/>
      <c r="I106" s="30"/>
      <c r="J106" s="30"/>
      <c r="K106" s="30"/>
      <c r="L106" s="30"/>
      <c r="M106" s="31"/>
      <c r="N106" s="30"/>
      <c r="O106" s="31"/>
    </row>
    <row r="107" customFormat="1" spans="1:15">
      <c r="A107" t="s">
        <v>552</v>
      </c>
      <c r="B107" s="33">
        <f>135%*6</f>
        <v>8.1</v>
      </c>
      <c r="C107" s="30"/>
      <c r="D107" s="30"/>
      <c r="E107" s="30" t="s">
        <v>77</v>
      </c>
      <c r="F107" s="30" t="s">
        <v>82</v>
      </c>
      <c r="G107" s="30">
        <v>0</v>
      </c>
      <c r="H107" s="30"/>
      <c r="I107" s="30"/>
      <c r="J107" s="30"/>
      <c r="K107" s="30"/>
      <c r="L107" s="30"/>
      <c r="M107" s="31"/>
      <c r="N107" s="30"/>
      <c r="O107" s="31"/>
    </row>
    <row r="108" customFormat="1" spans="1:15">
      <c r="A108" t="s">
        <v>553</v>
      </c>
      <c r="B108" s="33">
        <v>0.54</v>
      </c>
      <c r="C108" s="30"/>
      <c r="D108" s="30"/>
      <c r="E108" s="30" t="s">
        <v>77</v>
      </c>
      <c r="F108" s="30" t="s">
        <v>82</v>
      </c>
      <c r="G108" s="30">
        <v>0</v>
      </c>
      <c r="H108" s="30"/>
      <c r="I108" s="30"/>
      <c r="J108" s="30"/>
      <c r="K108" s="30"/>
      <c r="L108" s="30"/>
      <c r="M108" s="31"/>
      <c r="N108" s="30"/>
      <c r="O108" s="31">
        <v>0.15</v>
      </c>
    </row>
    <row r="109" customFormat="1" spans="1:15">
      <c r="A109" t="s">
        <v>554</v>
      </c>
      <c r="B109" s="33">
        <f>54%*6</f>
        <v>3.24</v>
      </c>
      <c r="C109" s="30"/>
      <c r="D109" s="30"/>
      <c r="E109" s="30" t="s">
        <v>77</v>
      </c>
      <c r="F109" s="30" t="s">
        <v>82</v>
      </c>
      <c r="G109" s="30">
        <v>0</v>
      </c>
      <c r="H109" s="30"/>
      <c r="I109" s="30"/>
      <c r="J109" s="30"/>
      <c r="K109" s="30"/>
      <c r="L109" s="30"/>
      <c r="M109" s="31"/>
      <c r="N109" s="30"/>
      <c r="O109" s="31">
        <v>0.15</v>
      </c>
    </row>
    <row r="110" customFormat="1" spans="1:15">
      <c r="A110" t="s">
        <v>555</v>
      </c>
      <c r="B110" s="33">
        <v>0.99</v>
      </c>
      <c r="C110" s="30"/>
      <c r="D110" s="30"/>
      <c r="E110" s="30" t="s">
        <v>77</v>
      </c>
      <c r="F110" s="30" t="s">
        <v>82</v>
      </c>
      <c r="G110" s="30">
        <v>0</v>
      </c>
      <c r="H110" s="30"/>
      <c r="I110" s="30"/>
      <c r="J110" s="30"/>
      <c r="K110" s="30"/>
      <c r="L110" s="30"/>
      <c r="M110" s="31"/>
      <c r="N110" s="30"/>
      <c r="O110" s="31">
        <v>0.15</v>
      </c>
    </row>
    <row r="111" customFormat="1" spans="1:15">
      <c r="A111" t="s">
        <v>556</v>
      </c>
      <c r="B111" s="33">
        <v>5.94</v>
      </c>
      <c r="C111" s="30"/>
      <c r="D111" s="30"/>
      <c r="E111" s="30" t="s">
        <v>77</v>
      </c>
      <c r="F111" s="30" t="s">
        <v>82</v>
      </c>
      <c r="G111" s="30">
        <v>0</v>
      </c>
      <c r="H111" s="30"/>
      <c r="I111" s="30"/>
      <c r="J111" s="30"/>
      <c r="K111" s="30"/>
      <c r="L111" s="30"/>
      <c r="M111" s="31"/>
      <c r="N111" s="30"/>
      <c r="O111" s="31">
        <v>0.15</v>
      </c>
    </row>
    <row r="112" customFormat="1" spans="1:15">
      <c r="A112" t="s">
        <v>557</v>
      </c>
      <c r="B112" s="33">
        <v>1.17</v>
      </c>
      <c r="C112" s="30"/>
      <c r="D112" s="30"/>
      <c r="E112" s="30" t="s">
        <v>77</v>
      </c>
      <c r="F112" s="30" t="s">
        <v>82</v>
      </c>
      <c r="G112" s="30">
        <v>0</v>
      </c>
      <c r="H112" s="30"/>
      <c r="I112" s="30"/>
      <c r="J112" s="30"/>
      <c r="K112" s="30"/>
      <c r="L112" s="30"/>
      <c r="M112" s="31"/>
      <c r="N112" s="30"/>
      <c r="O112" s="31">
        <v>0.15</v>
      </c>
    </row>
    <row r="113" customFormat="1" spans="1:15">
      <c r="A113" t="s">
        <v>558</v>
      </c>
      <c r="B113" s="33">
        <f>117%*6</f>
        <v>7.02</v>
      </c>
      <c r="C113" s="30"/>
      <c r="D113" s="30"/>
      <c r="E113" s="30" t="s">
        <v>77</v>
      </c>
      <c r="F113" s="30" t="s">
        <v>82</v>
      </c>
      <c r="G113" s="30">
        <v>0</v>
      </c>
      <c r="H113" s="30"/>
      <c r="I113" s="30"/>
      <c r="J113" s="30"/>
      <c r="K113" s="30"/>
      <c r="L113" s="30"/>
      <c r="M113" s="31"/>
      <c r="N113" s="30"/>
      <c r="O113" s="31">
        <v>0.15</v>
      </c>
    </row>
    <row r="114" customFormat="1" spans="1:15">
      <c r="A114" t="s">
        <v>559</v>
      </c>
      <c r="B114" s="33">
        <f>81%+18%*3</f>
        <v>1.35</v>
      </c>
      <c r="C114" s="30"/>
      <c r="D114" s="30"/>
      <c r="E114" s="30" t="s">
        <v>77</v>
      </c>
      <c r="F114" s="30" t="s">
        <v>82</v>
      </c>
      <c r="G114" s="30">
        <v>0</v>
      </c>
      <c r="H114" s="30"/>
      <c r="I114" s="30"/>
      <c r="J114" s="30"/>
      <c r="K114" s="30"/>
      <c r="L114" s="30"/>
      <c r="M114" s="30"/>
      <c r="N114" s="30"/>
      <c r="O114" s="31">
        <v>0.15</v>
      </c>
    </row>
    <row r="115" customFormat="1" spans="1:15">
      <c r="A115" t="s">
        <v>560</v>
      </c>
      <c r="B115" s="33">
        <f>135%*6</f>
        <v>8.1</v>
      </c>
      <c r="C115" s="30"/>
      <c r="D115" s="30"/>
      <c r="E115" s="30" t="s">
        <v>77</v>
      </c>
      <c r="F115" s="30" t="s">
        <v>82</v>
      </c>
      <c r="G115" s="30">
        <v>0</v>
      </c>
      <c r="H115" s="30"/>
      <c r="I115" s="30"/>
      <c r="J115" s="30"/>
      <c r="K115" s="30"/>
      <c r="L115" s="30"/>
      <c r="M115" s="30"/>
      <c r="N115" s="30"/>
      <c r="O115" s="31">
        <v>0.15</v>
      </c>
    </row>
    <row r="116" customFormat="1" spans="1:15">
      <c r="A116" t="s">
        <v>561</v>
      </c>
      <c r="B116" s="33">
        <v>5.4</v>
      </c>
      <c r="C116" s="30"/>
      <c r="D116" s="30"/>
      <c r="E116" s="30" t="s">
        <v>77</v>
      </c>
      <c r="F116" s="30" t="s">
        <v>83</v>
      </c>
      <c r="G116" s="30">
        <v>0</v>
      </c>
      <c r="H116" s="30"/>
      <c r="I116" s="30"/>
      <c r="J116" s="30"/>
      <c r="K116" s="30"/>
      <c r="L116" s="30"/>
      <c r="M116" s="30"/>
      <c r="N116" s="30"/>
      <c r="O116" s="30"/>
    </row>
    <row r="117" customFormat="1" spans="1:15">
      <c r="A117" t="s">
        <v>562</v>
      </c>
      <c r="B117" s="33">
        <v>6.6</v>
      </c>
      <c r="C117" s="30"/>
      <c r="D117" s="30"/>
      <c r="E117" s="30" t="s">
        <v>77</v>
      </c>
      <c r="F117" s="30" t="s">
        <v>81</v>
      </c>
      <c r="G117" s="30">
        <v>0</v>
      </c>
      <c r="H117" s="30"/>
      <c r="I117" s="30"/>
      <c r="J117" s="30"/>
      <c r="K117" s="30"/>
      <c r="L117" s="30"/>
      <c r="M117" s="30"/>
      <c r="N117" s="30"/>
      <c r="O117" s="30"/>
    </row>
    <row r="118" customFormat="1" spans="1:15">
      <c r="A118" t="s">
        <v>563</v>
      </c>
      <c r="B118" s="33">
        <v>1.5</v>
      </c>
      <c r="C118" s="30"/>
      <c r="D118" s="30"/>
      <c r="E118" s="30" t="s">
        <v>77</v>
      </c>
      <c r="F118" s="30" t="s">
        <v>81</v>
      </c>
      <c r="G118" s="30">
        <v>0</v>
      </c>
      <c r="H118" s="30"/>
      <c r="I118" s="30"/>
      <c r="J118" s="30"/>
      <c r="K118" s="30"/>
      <c r="L118" s="30"/>
      <c r="M118" s="30"/>
      <c r="N118" s="30"/>
      <c r="O118" s="30"/>
    </row>
    <row r="119" customFormat="1" spans="1:15">
      <c r="A119" t="s">
        <v>564</v>
      </c>
      <c r="B119" s="33">
        <v>2.1</v>
      </c>
      <c r="C119" s="30"/>
      <c r="D119" s="30"/>
      <c r="E119" s="30" t="s">
        <v>77</v>
      </c>
      <c r="F119" s="30" t="s">
        <v>81</v>
      </c>
      <c r="G119" s="30">
        <v>0</v>
      </c>
      <c r="H119" s="30"/>
      <c r="I119" s="30"/>
      <c r="J119" s="30"/>
      <c r="K119" s="30"/>
      <c r="L119" s="30"/>
      <c r="M119" s="30"/>
      <c r="N119" s="30"/>
      <c r="O119" s="30"/>
    </row>
    <row r="120" customFormat="1" spans="1:15">
      <c r="A120" t="s">
        <v>565</v>
      </c>
      <c r="B120" s="33">
        <v>3</v>
      </c>
      <c r="C120" s="30"/>
      <c r="D120" s="30"/>
      <c r="E120" s="30" t="s">
        <v>77</v>
      </c>
      <c r="F120" s="30" t="s">
        <v>81</v>
      </c>
      <c r="G120" s="30">
        <v>0</v>
      </c>
      <c r="H120" s="30"/>
      <c r="I120" s="30"/>
      <c r="J120" s="30"/>
      <c r="K120" s="30"/>
      <c r="L120" s="30"/>
      <c r="M120" s="30"/>
      <c r="N120" s="30"/>
      <c r="O120" s="30"/>
    </row>
    <row r="121" customFormat="1" spans="1:15">
      <c r="A121" t="s">
        <v>566</v>
      </c>
      <c r="B121" s="33">
        <v>0.81</v>
      </c>
      <c r="C121" s="30"/>
      <c r="D121" s="30"/>
      <c r="E121" s="30" t="s">
        <v>77</v>
      </c>
      <c r="F121" s="30" t="s">
        <v>82</v>
      </c>
      <c r="G121" s="30">
        <v>0</v>
      </c>
      <c r="H121" s="30"/>
      <c r="I121" s="30"/>
      <c r="J121" s="30"/>
      <c r="K121" s="30"/>
      <c r="L121" s="30"/>
      <c r="M121" s="31"/>
      <c r="N121" s="30"/>
      <c r="O121" s="31">
        <v>0.15</v>
      </c>
    </row>
    <row r="122" customFormat="1" spans="1:15">
      <c r="A122" t="s">
        <v>567</v>
      </c>
      <c r="B122" s="33">
        <v>4.86</v>
      </c>
      <c r="C122" s="30"/>
      <c r="D122" s="30"/>
      <c r="E122" s="30" t="s">
        <v>77</v>
      </c>
      <c r="F122" s="30" t="s">
        <v>82</v>
      </c>
      <c r="G122" s="30">
        <v>0</v>
      </c>
      <c r="H122" s="30"/>
      <c r="I122" s="30"/>
      <c r="J122" s="30"/>
      <c r="K122" s="30"/>
      <c r="L122" s="30"/>
      <c r="M122" s="30"/>
      <c r="N122" s="30"/>
      <c r="O122" s="31">
        <v>0.15</v>
      </c>
    </row>
    <row r="123" customFormat="1" spans="1:15">
      <c r="A123" t="s">
        <v>568</v>
      </c>
      <c r="B123" s="33">
        <v>3.71</v>
      </c>
      <c r="C123" s="30"/>
      <c r="D123" s="30"/>
      <c r="E123" s="30" t="s">
        <v>77</v>
      </c>
      <c r="F123" s="30" t="s">
        <v>81</v>
      </c>
      <c r="G123" s="30">
        <v>0</v>
      </c>
      <c r="H123" s="30"/>
      <c r="I123" s="30"/>
      <c r="J123" s="30"/>
      <c r="K123" s="30"/>
      <c r="L123" s="30"/>
      <c r="M123" s="30"/>
      <c r="N123" s="30"/>
      <c r="O123" s="30"/>
    </row>
    <row r="124" customFormat="1" spans="1:15">
      <c r="A124" t="s">
        <v>46</v>
      </c>
      <c r="B124" s="33">
        <v>2</v>
      </c>
      <c r="C124" s="30"/>
      <c r="D124" s="30"/>
      <c r="E124" s="30" t="s">
        <v>73</v>
      </c>
      <c r="F124" s="30" t="s">
        <v>82</v>
      </c>
      <c r="G124" s="30">
        <v>0</v>
      </c>
      <c r="H124" s="30"/>
      <c r="I124" s="30"/>
      <c r="J124" s="30"/>
      <c r="K124" s="30"/>
      <c r="L124" s="30"/>
      <c r="M124" s="30"/>
      <c r="N124" s="30"/>
      <c r="O124" s="31"/>
    </row>
    <row r="125" customFormat="1" spans="1:15">
      <c r="A125" t="s">
        <v>50</v>
      </c>
      <c r="B125" s="33">
        <v>6</v>
      </c>
      <c r="C125" s="30"/>
      <c r="D125" s="30"/>
      <c r="E125" s="30" t="s">
        <v>73</v>
      </c>
      <c r="F125" s="30" t="s">
        <v>449</v>
      </c>
      <c r="G125" s="30">
        <v>0</v>
      </c>
      <c r="H125" s="30">
        <v>1</v>
      </c>
      <c r="I125" s="30"/>
      <c r="J125" s="30"/>
      <c r="K125" s="30"/>
      <c r="L125" s="30"/>
      <c r="M125" s="30"/>
      <c r="N125" s="30"/>
      <c r="O125" s="31">
        <v>0.2</v>
      </c>
    </row>
    <row r="126" customFormat="1" spans="1:15">
      <c r="A126" t="s">
        <v>569</v>
      </c>
      <c r="B126" s="33">
        <v>2</v>
      </c>
      <c r="C126" s="30"/>
      <c r="D126" s="30"/>
      <c r="E126" s="30" t="s">
        <v>73</v>
      </c>
      <c r="F126" s="30" t="s">
        <v>82</v>
      </c>
      <c r="G126" s="30">
        <v>0</v>
      </c>
      <c r="H126" s="30"/>
      <c r="I126" s="30"/>
      <c r="J126" s="30"/>
      <c r="K126" s="30"/>
      <c r="L126" s="30"/>
      <c r="M126" s="30"/>
      <c r="N126" s="30"/>
      <c r="O126" s="31">
        <v>0.1</v>
      </c>
    </row>
    <row r="127" customFormat="1" spans="1:15">
      <c r="A127" t="s">
        <v>570</v>
      </c>
      <c r="B127" s="33">
        <v>6</v>
      </c>
      <c r="C127" s="30"/>
      <c r="D127" s="30"/>
      <c r="E127" s="30" t="s">
        <v>73</v>
      </c>
      <c r="F127" s="30" t="s">
        <v>449</v>
      </c>
      <c r="G127" s="30">
        <v>0</v>
      </c>
      <c r="H127" s="30">
        <v>1</v>
      </c>
      <c r="I127" s="30"/>
      <c r="J127" s="30"/>
      <c r="K127" s="30"/>
      <c r="L127" s="30"/>
      <c r="M127" s="30"/>
      <c r="N127" s="30"/>
      <c r="O127" s="31">
        <v>0.3</v>
      </c>
    </row>
    <row r="128" customFormat="1" spans="1:15">
      <c r="A128" t="s">
        <v>56</v>
      </c>
      <c r="B128" s="33">
        <v>2.5</v>
      </c>
      <c r="C128" s="30"/>
      <c r="D128" s="30"/>
      <c r="E128" s="30" t="s">
        <v>73</v>
      </c>
      <c r="F128" s="30" t="s">
        <v>83</v>
      </c>
      <c r="G128" s="30">
        <v>0</v>
      </c>
      <c r="H128" s="30"/>
      <c r="I128" s="30"/>
      <c r="J128" s="30"/>
      <c r="K128" s="30"/>
      <c r="L128" s="30"/>
      <c r="M128" s="30"/>
      <c r="N128" s="30"/>
      <c r="O128" s="30"/>
    </row>
    <row r="129" customFormat="1" spans="1:15">
      <c r="A129" t="s">
        <v>59</v>
      </c>
      <c r="B129" s="33">
        <v>7</v>
      </c>
      <c r="C129" s="30"/>
      <c r="D129" s="30"/>
      <c r="E129" s="30" t="s">
        <v>73</v>
      </c>
      <c r="F129" s="30" t="s">
        <v>84</v>
      </c>
      <c r="G129" s="30">
        <v>0</v>
      </c>
      <c r="H129" s="30"/>
      <c r="I129" s="30"/>
      <c r="J129" s="30"/>
      <c r="K129" s="30"/>
      <c r="L129" s="30"/>
      <c r="M129" s="30"/>
      <c r="N129" s="30"/>
      <c r="O129" s="30"/>
    </row>
    <row r="130" spans="1:15">
      <c r="A130" t="s">
        <v>43</v>
      </c>
      <c r="E130" s="30" t="s">
        <v>73</v>
      </c>
      <c r="F130" s="30" t="s">
        <v>449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pane ySplit="1" topLeftCell="A158" activePane="bottomLeft" state="frozen"/>
      <selection/>
      <selection pane="bottomLeft" activeCell="D186" sqref="D186"/>
    </sheetView>
  </sheetViews>
  <sheetFormatPr defaultColWidth="9" defaultRowHeight="13.5"/>
  <cols>
    <col min="1" max="1" width="26.75" customWidth="1"/>
    <col min="3" max="3" width="12" customWidth="1"/>
    <col min="4" max="4" width="9.375" style="27"/>
    <col min="6" max="6" width="12.625" customWidth="1"/>
    <col min="9" max="9" width="9" style="28"/>
    <col min="10" max="10" width="12.25" customWidth="1"/>
    <col min="14" max="15" width="9" style="28"/>
    <col min="16" max="16" width="43.75" customWidth="1"/>
  </cols>
  <sheetData>
    <row r="1" spans="1:16">
      <c r="B1" t="s">
        <v>444</v>
      </c>
      <c r="C1" t="s">
        <v>445</v>
      </c>
      <c r="D1" s="29" t="s">
        <v>28</v>
      </c>
      <c r="E1" t="s">
        <v>571</v>
      </c>
      <c r="F1" t="s">
        <v>29</v>
      </c>
      <c r="G1" s="30" t="s">
        <v>30</v>
      </c>
      <c r="H1" t="s">
        <v>31</v>
      </c>
      <c r="I1" s="28" t="s">
        <v>32</v>
      </c>
      <c r="J1" t="s">
        <v>33</v>
      </c>
      <c r="K1" s="30" t="s">
        <v>34</v>
      </c>
      <c r="L1" t="s">
        <v>35</v>
      </c>
      <c r="M1" t="s">
        <v>36</v>
      </c>
      <c r="N1" s="28" t="s">
        <v>25</v>
      </c>
      <c r="O1" s="28" t="s">
        <v>572</v>
      </c>
      <c r="P1" t="s">
        <v>573</v>
      </c>
    </row>
    <row r="2" customFormat="1" spans="1:16">
      <c r="A2" t="s">
        <v>137</v>
      </c>
      <c r="D2" s="27">
        <v>0.576</v>
      </c>
      <c r="E2" s="30"/>
      <c r="I2" s="28"/>
      <c r="N2" s="28"/>
      <c r="O2" s="28"/>
    </row>
    <row r="3" spans="1:16">
      <c r="A3" t="s">
        <v>138</v>
      </c>
      <c r="D3" s="27">
        <v>1.008</v>
      </c>
      <c r="E3" s="30"/>
    </row>
    <row r="4" spans="1:16">
      <c r="A4" t="s">
        <v>139</v>
      </c>
      <c r="E4" s="31">
        <v>1.2</v>
      </c>
    </row>
    <row r="5" customFormat="1" spans="1:16">
      <c r="A5" t="s">
        <v>140</v>
      </c>
      <c r="D5" s="27"/>
      <c r="E5" s="31">
        <v>2.1</v>
      </c>
      <c r="I5" s="28"/>
      <c r="N5" s="28"/>
      <c r="O5" s="28"/>
    </row>
    <row r="6" customFormat="1" spans="1:16">
      <c r="A6" t="s">
        <v>141</v>
      </c>
      <c r="D6" s="27">
        <v>0.56</v>
      </c>
      <c r="E6"/>
      <c r="I6" s="28"/>
      <c r="N6" s="28"/>
      <c r="O6" s="28"/>
    </row>
    <row r="7" customFormat="1" spans="1:16">
      <c r="A7" t="s">
        <v>142</v>
      </c>
      <c r="D7" s="27">
        <v>0.98</v>
      </c>
      <c r="E7"/>
      <c r="I7" s="28"/>
      <c r="N7" s="28"/>
      <c r="O7" s="28"/>
    </row>
    <row r="8" customFormat="1" spans="1:16">
      <c r="A8" t="s">
        <v>574</v>
      </c>
      <c r="D8" s="27">
        <v>0.04</v>
      </c>
      <c r="E8" s="30"/>
      <c r="I8" s="28"/>
      <c r="N8" s="28"/>
      <c r="O8" s="28"/>
    </row>
    <row r="9" customFormat="1" spans="1:16">
      <c r="A9" t="s">
        <v>575</v>
      </c>
      <c r="D9" s="27">
        <f>7%*5</f>
        <v>0.35</v>
      </c>
      <c r="E9" s="30"/>
      <c r="I9" s="28"/>
      <c r="N9" s="28"/>
      <c r="O9" s="28"/>
    </row>
    <row r="10" customFormat="1" spans="1:16">
      <c r="A10" t="s">
        <v>576</v>
      </c>
      <c r="D10" s="27"/>
      <c r="E10" s="30"/>
      <c r="I10" s="28"/>
      <c r="N10" s="28">
        <v>0.08</v>
      </c>
      <c r="O10" s="28"/>
    </row>
    <row r="11" customFormat="1" spans="1:16">
      <c r="A11" t="s">
        <v>577</v>
      </c>
      <c r="D11" s="27"/>
      <c r="E11" s="30"/>
      <c r="I11" s="28"/>
      <c r="N11" s="28">
        <v>0.16</v>
      </c>
      <c r="O11" s="28"/>
    </row>
    <row r="12" customFormat="1" spans="1:16">
      <c r="A12" t="s">
        <v>578</v>
      </c>
      <c r="D12" s="27"/>
      <c r="E12" s="30"/>
      <c r="I12" s="28"/>
      <c r="N12" s="28">
        <v>0.14</v>
      </c>
      <c r="O12" s="28"/>
    </row>
    <row r="13" customFormat="1" spans="1:16">
      <c r="A13" t="s">
        <v>579</v>
      </c>
      <c r="D13" s="27"/>
      <c r="E13" s="30"/>
      <c r="I13" s="28"/>
      <c r="N13" s="28">
        <v>0.28</v>
      </c>
      <c r="O13" s="28"/>
    </row>
    <row r="14" customFormat="1" spans="1:16">
      <c r="A14" t="s">
        <v>580</v>
      </c>
      <c r="D14" s="27"/>
      <c r="E14" s="30"/>
      <c r="I14" s="28"/>
      <c r="N14" s="28">
        <v>0.21</v>
      </c>
      <c r="O14" s="28"/>
    </row>
    <row r="15" customFormat="1" spans="1:16">
      <c r="A15" t="s">
        <v>581</v>
      </c>
      <c r="D15" s="27"/>
      <c r="E15" s="30"/>
      <c r="I15" s="28"/>
      <c r="N15" s="28">
        <v>0.42</v>
      </c>
      <c r="O15" s="28"/>
    </row>
    <row r="16" customFormat="1" spans="1:16">
      <c r="A16" t="s">
        <v>582</v>
      </c>
      <c r="D16" s="27">
        <v>0.384</v>
      </c>
      <c r="E16" s="30"/>
      <c r="I16" s="28"/>
      <c r="N16" s="28"/>
      <c r="O16" s="28"/>
    </row>
    <row r="17" customFormat="1" spans="1:15">
      <c r="A17" t="s">
        <v>583</v>
      </c>
      <c r="D17" s="27">
        <v>0.672</v>
      </c>
      <c r="E17" s="30"/>
      <c r="I17" s="28"/>
      <c r="N17" s="28"/>
      <c r="O17" s="28"/>
    </row>
    <row r="18" customFormat="1" spans="1:15">
      <c r="A18" t="s">
        <v>584</v>
      </c>
      <c r="D18" s="27">
        <v>0.192</v>
      </c>
      <c r="E18" s="30"/>
      <c r="I18" s="28"/>
      <c r="N18" s="28"/>
      <c r="O18" s="28"/>
    </row>
    <row r="19" customFormat="1" spans="1:15">
      <c r="A19" t="s">
        <v>585</v>
      </c>
      <c r="D19" s="27">
        <v>0.336</v>
      </c>
      <c r="E19" s="30"/>
      <c r="I19" s="28"/>
      <c r="N19" s="28"/>
      <c r="O19" s="28"/>
    </row>
    <row r="20" customFormat="1" spans="1:15">
      <c r="A20" t="s">
        <v>150</v>
      </c>
      <c r="D20" s="27"/>
      <c r="E20" s="30"/>
      <c r="I20" s="28"/>
      <c r="N20" s="28">
        <v>0.144</v>
      </c>
      <c r="O20" s="28"/>
    </row>
    <row r="21" customFormat="1" spans="1:15">
      <c r="A21" t="s">
        <v>151</v>
      </c>
      <c r="D21" s="27"/>
      <c r="E21" s="30"/>
      <c r="I21" s="28"/>
      <c r="N21" s="28">
        <v>0.252</v>
      </c>
      <c r="O21" s="28"/>
    </row>
    <row r="22" customFormat="1" spans="1:15">
      <c r="A22" t="s">
        <v>152</v>
      </c>
      <c r="D22" s="27"/>
      <c r="E22" s="30"/>
      <c r="I22" s="28">
        <v>0.144</v>
      </c>
      <c r="N22" s="28"/>
      <c r="O22" s="28"/>
    </row>
    <row r="23" customFormat="1" spans="1:15">
      <c r="A23" t="s">
        <v>153</v>
      </c>
      <c r="D23" s="27"/>
      <c r="E23" s="30"/>
      <c r="I23" s="28">
        <v>0.252</v>
      </c>
      <c r="N23" s="28"/>
      <c r="O23" s="28"/>
    </row>
    <row r="24" customFormat="1" spans="1:15">
      <c r="A24" t="s">
        <v>586</v>
      </c>
      <c r="D24" s="27">
        <v>0.248</v>
      </c>
      <c r="E24" s="30"/>
      <c r="I24" s="28"/>
      <c r="N24" s="28"/>
      <c r="O24" s="28"/>
    </row>
    <row r="25" customFormat="1" spans="1:15">
      <c r="A25" t="s">
        <v>587</v>
      </c>
      <c r="D25" s="27">
        <v>0.434</v>
      </c>
      <c r="E25" s="30"/>
      <c r="I25" s="28"/>
      <c r="N25" s="28"/>
      <c r="O25" s="28"/>
    </row>
    <row r="26" customFormat="1" spans="1:15">
      <c r="A26" t="s">
        <v>158</v>
      </c>
      <c r="D26" s="27"/>
      <c r="E26" s="30"/>
      <c r="I26" s="28"/>
      <c r="N26" s="28">
        <v>0.224</v>
      </c>
      <c r="O26" s="28"/>
    </row>
    <row r="27" customFormat="1" spans="1:15">
      <c r="A27" t="s">
        <v>156</v>
      </c>
      <c r="D27" s="27"/>
      <c r="E27" s="30"/>
      <c r="I27" s="28">
        <v>0.16</v>
      </c>
      <c r="N27" s="28"/>
      <c r="O27" s="28"/>
    </row>
    <row r="28" customFormat="1" spans="1:15">
      <c r="A28" t="s">
        <v>157</v>
      </c>
      <c r="D28" s="27"/>
      <c r="E28" s="30"/>
      <c r="I28" s="28">
        <v>0.28</v>
      </c>
      <c r="N28" s="28"/>
      <c r="O28" s="28"/>
    </row>
    <row r="29" customFormat="1" spans="1:15">
      <c r="A29" t="s">
        <v>588</v>
      </c>
      <c r="D29" s="27">
        <f>16%*3</f>
        <v>0.48</v>
      </c>
      <c r="E29" s="30"/>
      <c r="I29" s="28"/>
      <c r="N29" s="28"/>
      <c r="O29" s="28"/>
    </row>
    <row r="30" customFormat="1" spans="1:15">
      <c r="A30" t="s">
        <v>589</v>
      </c>
      <c r="D30" s="27">
        <f>28%*3</f>
        <v>0.84</v>
      </c>
      <c r="E30" s="30"/>
      <c r="I30" s="28"/>
      <c r="N30" s="28"/>
      <c r="O30" s="28"/>
    </row>
    <row r="31" customFormat="1" spans="1:15">
      <c r="A31" t="s">
        <v>590</v>
      </c>
      <c r="D31" s="27">
        <v>0.16</v>
      </c>
      <c r="E31" s="30"/>
      <c r="I31" s="28"/>
      <c r="N31" s="28"/>
      <c r="O31" s="28"/>
    </row>
    <row r="32" customFormat="1" spans="1:15">
      <c r="A32" t="s">
        <v>591</v>
      </c>
      <c r="D32" s="27">
        <v>0.28</v>
      </c>
      <c r="E32" s="30"/>
      <c r="I32" s="28"/>
      <c r="N32" s="28"/>
      <c r="O32" s="28"/>
    </row>
    <row r="33" customFormat="1" spans="1:16">
      <c r="A33" t="s">
        <v>592</v>
      </c>
      <c r="D33" s="27">
        <v>0.32</v>
      </c>
      <c r="E33" s="30"/>
      <c r="I33" s="28"/>
      <c r="N33" s="28"/>
      <c r="O33" s="28"/>
    </row>
    <row r="34" customFormat="1" spans="1:16">
      <c r="A34" t="s">
        <v>593</v>
      </c>
      <c r="D34" s="27">
        <v>0.56</v>
      </c>
      <c r="E34" s="30"/>
      <c r="I34" s="28"/>
      <c r="N34" s="28"/>
      <c r="O34" s="28"/>
    </row>
    <row r="35" customFormat="1" spans="1:16">
      <c r="A35" t="s">
        <v>594</v>
      </c>
      <c r="D35" s="27">
        <v>0.32</v>
      </c>
      <c r="E35" s="30"/>
      <c r="I35" s="28"/>
      <c r="N35" s="28"/>
      <c r="O35" s="28"/>
    </row>
    <row r="36" customFormat="1" spans="1:16">
      <c r="A36" t="s">
        <v>595</v>
      </c>
      <c r="D36" s="27">
        <v>0.56</v>
      </c>
      <c r="E36" s="30"/>
      <c r="I36" s="28"/>
      <c r="N36" s="28"/>
      <c r="O36" s="28"/>
    </row>
    <row r="37" customFormat="1" spans="1:16">
      <c r="A37" t="s">
        <v>596</v>
      </c>
      <c r="D37" s="27"/>
      <c r="E37" s="30"/>
      <c r="I37" s="28"/>
      <c r="N37" s="28"/>
      <c r="O37" s="28">
        <v>0.256</v>
      </c>
    </row>
    <row r="38" customFormat="1" spans="1:16">
      <c r="A38" t="s">
        <v>597</v>
      </c>
      <c r="D38" s="27"/>
      <c r="E38" s="30"/>
      <c r="I38" s="28"/>
      <c r="N38" s="28"/>
      <c r="O38" s="28">
        <v>0.448</v>
      </c>
    </row>
    <row r="39" customFormat="1" spans="1:16">
      <c r="A39" t="s">
        <v>598</v>
      </c>
      <c r="D39" s="27">
        <v>0.672</v>
      </c>
      <c r="E39" s="30"/>
      <c r="I39" s="28"/>
      <c r="N39" s="28"/>
      <c r="O39" s="28"/>
    </row>
    <row r="40" customFormat="1" spans="1:16">
      <c r="A40" t="s">
        <v>599</v>
      </c>
      <c r="D40" s="27">
        <v>1.176</v>
      </c>
      <c r="E40" s="30"/>
      <c r="I40" s="28"/>
      <c r="N40" s="28"/>
      <c r="O40" s="28"/>
    </row>
    <row r="41" customFormat="1" spans="1:16">
      <c r="A41" t="s">
        <v>600</v>
      </c>
      <c r="D41" s="27">
        <v>0.32</v>
      </c>
      <c r="E41" s="30"/>
      <c r="I41" s="28"/>
      <c r="N41" s="28"/>
      <c r="O41" s="28"/>
    </row>
    <row r="42" customFormat="1" spans="1:16">
      <c r="A42" t="s">
        <v>601</v>
      </c>
      <c r="D42" s="27">
        <v>0.56</v>
      </c>
      <c r="E42" s="30"/>
      <c r="I42" s="28"/>
      <c r="N42" s="28"/>
      <c r="O42" s="28"/>
    </row>
    <row r="43" customFormat="1" spans="1:16">
      <c r="A43" t="s">
        <v>602</v>
      </c>
      <c r="D43" s="27"/>
      <c r="E43" s="30"/>
      <c r="I43" s="28">
        <v>0.096</v>
      </c>
      <c r="N43" s="28"/>
      <c r="O43" s="28"/>
    </row>
    <row r="44" customFormat="1" spans="1:16">
      <c r="A44" t="s">
        <v>603</v>
      </c>
      <c r="D44" s="27"/>
      <c r="E44" s="30"/>
      <c r="I44" s="28">
        <v>0.168</v>
      </c>
      <c r="N44" s="28"/>
      <c r="O44" s="28"/>
    </row>
    <row r="45" spans="1:16">
      <c r="A45" t="s">
        <v>604</v>
      </c>
      <c r="E45" s="30"/>
      <c r="N45" s="28">
        <v>0.3</v>
      </c>
      <c r="P45" t="s">
        <v>605</v>
      </c>
    </row>
    <row r="46" customFormat="1" spans="1:16">
      <c r="A46" t="s">
        <v>606</v>
      </c>
      <c r="D46" s="27"/>
      <c r="E46" s="30"/>
      <c r="I46" s="28"/>
      <c r="N46" s="28">
        <v>0.15</v>
      </c>
      <c r="O46" s="28"/>
      <c r="P46" t="s">
        <v>605</v>
      </c>
    </row>
    <row r="47" customFormat="1" spans="1:16">
      <c r="A47" t="s">
        <v>607</v>
      </c>
      <c r="D47" s="27"/>
      <c r="E47" s="30"/>
      <c r="I47" s="28">
        <v>0.2</v>
      </c>
      <c r="N47" s="28"/>
      <c r="O47" s="28"/>
      <c r="P47" t="s">
        <v>608</v>
      </c>
    </row>
    <row r="48" customFormat="1" spans="1:16">
      <c r="A48" t="s">
        <v>609</v>
      </c>
      <c r="B48" s="32"/>
      <c r="D48" s="27"/>
      <c r="I48" s="28"/>
      <c r="K48" s="32">
        <v>0.2</v>
      </c>
      <c r="N48" s="28"/>
      <c r="O48" s="28"/>
    </row>
    <row r="49" customFormat="1" spans="1:15">
      <c r="A49" t="s">
        <v>610</v>
      </c>
      <c r="B49" s="32"/>
      <c r="C49" s="32"/>
      <c r="D49" s="27"/>
      <c r="I49" s="28">
        <v>0.256</v>
      </c>
      <c r="K49" s="32"/>
      <c r="N49" s="28"/>
      <c r="O49" s="28"/>
    </row>
    <row r="50" customFormat="1" spans="1:15">
      <c r="A50" t="s">
        <v>611</v>
      </c>
      <c r="B50" s="32"/>
      <c r="C50" s="32"/>
      <c r="D50" s="27"/>
      <c r="H50" s="32">
        <v>0.05</v>
      </c>
      <c r="I50" s="28"/>
      <c r="K50" s="32"/>
      <c r="N50" s="28"/>
      <c r="O50" s="28"/>
    </row>
    <row r="51" customFormat="1" spans="1:15">
      <c r="A51" t="s">
        <v>612</v>
      </c>
      <c r="B51" s="32"/>
      <c r="C51" s="32"/>
      <c r="D51" s="27"/>
      <c r="H51" s="32">
        <v>0.1</v>
      </c>
      <c r="I51" s="28"/>
      <c r="K51" s="32"/>
      <c r="N51" s="28"/>
      <c r="O51" s="28"/>
    </row>
    <row r="52" customFormat="1" spans="1:15">
      <c r="A52" t="s">
        <v>612</v>
      </c>
      <c r="B52" s="32"/>
      <c r="C52" s="32"/>
      <c r="D52" s="27"/>
      <c r="H52" s="32">
        <v>0.15</v>
      </c>
      <c r="I52" s="28"/>
      <c r="K52" s="32"/>
      <c r="N52" s="28"/>
      <c r="O52" s="28"/>
    </row>
    <row r="53" customFormat="1" spans="1:15">
      <c r="A53" t="s">
        <v>613</v>
      </c>
      <c r="B53" s="32"/>
      <c r="C53" s="32"/>
      <c r="D53" s="27"/>
      <c r="I53" s="28">
        <v>0.12</v>
      </c>
      <c r="K53" s="32"/>
      <c r="N53" s="28"/>
      <c r="O53" s="28"/>
    </row>
    <row r="54" customFormat="1" spans="1:15">
      <c r="A54" t="s">
        <v>614</v>
      </c>
      <c r="B54" s="32">
        <v>0.25</v>
      </c>
      <c r="C54" s="32">
        <v>0.5</v>
      </c>
      <c r="D54" s="27"/>
      <c r="I54" s="28"/>
      <c r="K54" s="32"/>
      <c r="N54" s="28"/>
      <c r="O54" s="28"/>
    </row>
    <row r="55" customFormat="1" spans="1:15">
      <c r="A55" t="s">
        <v>615</v>
      </c>
      <c r="B55" s="32"/>
      <c r="C55" s="32"/>
      <c r="D55" s="27">
        <v>0.016</v>
      </c>
      <c r="I55" s="28"/>
      <c r="K55" s="32"/>
      <c r="N55" s="28"/>
      <c r="O55" s="28"/>
    </row>
    <row r="56" customFormat="1" spans="1:15">
      <c r="A56" t="s">
        <v>616</v>
      </c>
      <c r="B56" s="32"/>
      <c r="C56" s="32"/>
      <c r="D56" s="27">
        <v>0.032</v>
      </c>
      <c r="I56" s="28"/>
      <c r="K56" s="32"/>
      <c r="N56" s="28"/>
      <c r="O56" s="28"/>
    </row>
    <row r="57" customFormat="1" spans="1:15">
      <c r="A57" t="s">
        <v>617</v>
      </c>
      <c r="B57" s="32"/>
      <c r="C57" s="32"/>
      <c r="D57" s="27">
        <v>0.048</v>
      </c>
      <c r="I57" s="28"/>
      <c r="K57" s="32"/>
      <c r="N57" s="28"/>
      <c r="O57" s="28"/>
    </row>
    <row r="58" customFormat="1" spans="1:15">
      <c r="A58" t="s">
        <v>618</v>
      </c>
      <c r="B58" s="32"/>
      <c r="C58" s="32"/>
      <c r="D58" s="27">
        <v>0.064</v>
      </c>
      <c r="I58" s="28"/>
      <c r="K58" s="32"/>
      <c r="N58" s="28"/>
      <c r="O58" s="28"/>
    </row>
    <row r="59" customFormat="1" spans="1:15">
      <c r="A59" t="s">
        <v>619</v>
      </c>
      <c r="B59" s="32"/>
      <c r="C59" s="32"/>
      <c r="D59" s="27">
        <v>0.08</v>
      </c>
      <c r="I59" s="28"/>
      <c r="K59" s="32"/>
      <c r="N59" s="28"/>
      <c r="O59" s="28"/>
    </row>
    <row r="60" customFormat="1" spans="1:15">
      <c r="A60" t="s">
        <v>620</v>
      </c>
      <c r="B60" s="32"/>
      <c r="C60" s="32"/>
      <c r="D60" s="27">
        <v>0.096</v>
      </c>
      <c r="I60" s="28"/>
      <c r="K60" s="32"/>
      <c r="N60" s="28"/>
      <c r="O60" s="28"/>
    </row>
    <row r="61" customFormat="1" spans="1:15">
      <c r="A61" t="s">
        <v>621</v>
      </c>
      <c r="B61" s="32"/>
      <c r="C61" s="32"/>
      <c r="D61" s="27">
        <v>0.112</v>
      </c>
      <c r="I61" s="28"/>
      <c r="K61" s="32"/>
      <c r="N61" s="28"/>
      <c r="O61" s="28"/>
    </row>
    <row r="62" customFormat="1" spans="1:15">
      <c r="A62" t="s">
        <v>622</v>
      </c>
      <c r="B62" s="32"/>
      <c r="C62" s="32"/>
      <c r="D62" s="27">
        <v>0.128</v>
      </c>
      <c r="I62" s="28"/>
      <c r="K62" s="32"/>
      <c r="N62" s="28"/>
      <c r="O62" s="28"/>
    </row>
    <row r="63" customFormat="1" spans="1:15">
      <c r="A63" t="s">
        <v>623</v>
      </c>
      <c r="B63" s="32"/>
      <c r="C63" s="32"/>
      <c r="D63" s="27">
        <v>0.144</v>
      </c>
      <c r="I63" s="28"/>
      <c r="K63" s="32"/>
      <c r="N63" s="28"/>
      <c r="O63" s="28"/>
    </row>
    <row r="64" customFormat="1" spans="1:15">
      <c r="A64" t="s">
        <v>624</v>
      </c>
      <c r="B64" s="32"/>
      <c r="C64" s="32"/>
      <c r="D64" s="27">
        <v>0.16</v>
      </c>
      <c r="I64" s="28"/>
      <c r="K64" s="32"/>
      <c r="N64" s="28"/>
      <c r="O64" s="28"/>
    </row>
    <row r="65" customFormat="1" spans="1:15">
      <c r="A65" t="s">
        <v>625</v>
      </c>
      <c r="B65" s="32"/>
      <c r="C65" s="32"/>
      <c r="D65" s="27">
        <v>0.176</v>
      </c>
      <c r="I65" s="28"/>
      <c r="K65" s="32"/>
      <c r="N65" s="28"/>
      <c r="O65" s="28"/>
    </row>
    <row r="66" customFormat="1" spans="1:15">
      <c r="A66" t="s">
        <v>626</v>
      </c>
      <c r="B66" s="32"/>
      <c r="C66" s="32"/>
      <c r="D66" s="27">
        <v>0.192</v>
      </c>
      <c r="I66" s="28"/>
      <c r="K66" s="32"/>
      <c r="N66" s="28"/>
      <c r="O66" s="28"/>
    </row>
    <row r="67" customFormat="1" spans="1:15">
      <c r="A67" t="s">
        <v>627</v>
      </c>
      <c r="B67" s="32"/>
      <c r="C67" s="32"/>
      <c r="D67" s="27">
        <v>0.208</v>
      </c>
      <c r="I67" s="28"/>
      <c r="K67" s="32"/>
      <c r="N67" s="28"/>
      <c r="O67" s="28"/>
    </row>
    <row r="68" customFormat="1" spans="1:15">
      <c r="A68" t="s">
        <v>628</v>
      </c>
      <c r="B68" s="32"/>
      <c r="C68" s="32"/>
      <c r="D68" s="27">
        <v>0.224</v>
      </c>
      <c r="I68" s="28"/>
      <c r="K68" s="32"/>
      <c r="N68" s="28"/>
      <c r="O68" s="28"/>
    </row>
    <row r="69" customFormat="1" spans="1:15">
      <c r="A69" t="s">
        <v>629</v>
      </c>
      <c r="B69" s="32"/>
      <c r="C69" s="32"/>
      <c r="D69" s="27">
        <v>0.24</v>
      </c>
      <c r="I69" s="28"/>
      <c r="K69" s="32"/>
      <c r="N69" s="28"/>
      <c r="O69" s="28"/>
    </row>
    <row r="70" customFormat="1" spans="1:15">
      <c r="A70" t="s">
        <v>630</v>
      </c>
      <c r="B70" s="32"/>
      <c r="C70" s="32"/>
      <c r="D70" s="27">
        <v>0.256</v>
      </c>
      <c r="I70" s="28"/>
      <c r="K70" s="32"/>
      <c r="N70" s="28"/>
      <c r="O70" s="28"/>
    </row>
    <row r="71" customFormat="1" spans="1:15">
      <c r="A71" t="s">
        <v>631</v>
      </c>
      <c r="B71" s="32"/>
      <c r="C71" s="32"/>
      <c r="D71" s="27">
        <v>0.028</v>
      </c>
      <c r="I71" s="28"/>
      <c r="K71" s="32"/>
      <c r="N71" s="28"/>
      <c r="O71" s="28"/>
    </row>
    <row r="72" customFormat="1" spans="1:15">
      <c r="A72" t="s">
        <v>632</v>
      </c>
      <c r="B72" s="32"/>
      <c r="C72" s="32"/>
      <c r="D72" s="27">
        <v>0.056</v>
      </c>
      <c r="I72" s="28"/>
      <c r="K72" s="32"/>
      <c r="N72" s="28"/>
      <c r="O72" s="28"/>
    </row>
    <row r="73" customFormat="1" spans="1:15">
      <c r="A73" t="s">
        <v>633</v>
      </c>
      <c r="B73" s="32"/>
      <c r="C73" s="32"/>
      <c r="D73" s="27">
        <v>0.084</v>
      </c>
      <c r="I73" s="28"/>
      <c r="K73" s="32"/>
      <c r="N73" s="28"/>
      <c r="O73" s="28"/>
    </row>
    <row r="74" customFormat="1" spans="1:15">
      <c r="A74" t="s">
        <v>634</v>
      </c>
      <c r="B74" s="32"/>
      <c r="C74" s="32"/>
      <c r="D74" s="27">
        <v>0.112</v>
      </c>
      <c r="I74" s="28"/>
      <c r="K74" s="32"/>
      <c r="N74" s="28"/>
      <c r="O74" s="28"/>
    </row>
    <row r="75" customFormat="1" spans="1:15">
      <c r="A75" t="s">
        <v>635</v>
      </c>
      <c r="B75" s="32"/>
      <c r="C75" s="32"/>
      <c r="D75" s="27">
        <v>0.14</v>
      </c>
      <c r="I75" s="28"/>
      <c r="K75" s="32"/>
      <c r="N75" s="28"/>
      <c r="O75" s="28"/>
    </row>
    <row r="76" customFormat="1" spans="1:15">
      <c r="A76" t="s">
        <v>636</v>
      </c>
      <c r="B76" s="32"/>
      <c r="C76" s="32"/>
      <c r="D76" s="27">
        <v>0.168</v>
      </c>
      <c r="I76" s="28"/>
      <c r="K76" s="32"/>
      <c r="N76" s="28"/>
      <c r="O76" s="28"/>
    </row>
    <row r="77" customFormat="1" spans="1:15">
      <c r="A77" t="s">
        <v>637</v>
      </c>
      <c r="B77" s="32"/>
      <c r="C77" s="32"/>
      <c r="D77" s="27">
        <v>0.196</v>
      </c>
      <c r="I77" s="28"/>
      <c r="K77" s="32"/>
      <c r="N77" s="28"/>
      <c r="O77" s="28"/>
    </row>
    <row r="78" customFormat="1" spans="1:15">
      <c r="A78" t="s">
        <v>638</v>
      </c>
      <c r="B78" s="32"/>
      <c r="C78" s="32"/>
      <c r="D78" s="27">
        <v>0.224</v>
      </c>
      <c r="I78" s="28"/>
      <c r="K78" s="32"/>
      <c r="N78" s="28"/>
      <c r="O78" s="28"/>
    </row>
    <row r="79" customFormat="1" spans="1:15">
      <c r="A79" t="s">
        <v>639</v>
      </c>
      <c r="B79" s="32"/>
      <c r="C79" s="32"/>
      <c r="D79" s="27">
        <v>0.252</v>
      </c>
      <c r="I79" s="28"/>
      <c r="K79" s="32"/>
      <c r="N79" s="28"/>
      <c r="O79" s="28"/>
    </row>
    <row r="80" customFormat="1" spans="1:15">
      <c r="A80" t="s">
        <v>640</v>
      </c>
      <c r="B80" s="32"/>
      <c r="C80" s="32"/>
      <c r="D80" s="27">
        <v>0.28</v>
      </c>
      <c r="I80" s="28"/>
      <c r="K80" s="32"/>
      <c r="N80" s="28"/>
      <c r="O80" s="28"/>
    </row>
    <row r="81" customFormat="1" spans="1:15">
      <c r="A81" t="s">
        <v>641</v>
      </c>
      <c r="B81" s="32"/>
      <c r="C81" s="32"/>
      <c r="D81" s="27">
        <v>0.308</v>
      </c>
      <c r="I81" s="28"/>
      <c r="K81" s="32"/>
      <c r="N81" s="28"/>
      <c r="O81" s="28"/>
    </row>
    <row r="82" customFormat="1" spans="1:15">
      <c r="A82" t="s">
        <v>642</v>
      </c>
      <c r="B82" s="32"/>
      <c r="C82" s="32"/>
      <c r="D82" s="27">
        <v>0.336</v>
      </c>
      <c r="I82" s="28"/>
      <c r="K82" s="32"/>
      <c r="N82" s="28"/>
      <c r="O82" s="28"/>
    </row>
    <row r="83" customFormat="1" spans="1:15">
      <c r="A83" t="s">
        <v>643</v>
      </c>
      <c r="B83" s="32"/>
      <c r="C83" s="32"/>
      <c r="D83" s="27">
        <v>0.364</v>
      </c>
      <c r="I83" s="28"/>
      <c r="K83" s="32"/>
      <c r="N83" s="28"/>
      <c r="O83" s="28"/>
    </row>
    <row r="84" customFormat="1" spans="1:15">
      <c r="A84" t="s">
        <v>644</v>
      </c>
      <c r="B84" s="32"/>
      <c r="C84" s="32"/>
      <c r="D84" s="27">
        <v>0.392</v>
      </c>
      <c r="I84" s="28"/>
      <c r="K84" s="32"/>
      <c r="N84" s="28"/>
      <c r="O84" s="28"/>
    </row>
    <row r="85" customFormat="1" spans="1:15">
      <c r="A85" t="s">
        <v>645</v>
      </c>
      <c r="B85" s="32"/>
      <c r="C85" s="32"/>
      <c r="D85" s="27">
        <v>0.42</v>
      </c>
      <c r="I85" s="28"/>
      <c r="K85" s="32"/>
      <c r="N85" s="28"/>
      <c r="O85" s="28"/>
    </row>
    <row r="86" customFormat="1" spans="1:15">
      <c r="A86" t="s">
        <v>646</v>
      </c>
      <c r="B86" s="32"/>
      <c r="C86" s="32"/>
      <c r="D86" s="27">
        <v>0.448</v>
      </c>
      <c r="I86" s="28"/>
      <c r="K86" s="32"/>
      <c r="N86" s="28"/>
      <c r="O86" s="28"/>
    </row>
    <row r="87" customFormat="1" spans="1:15">
      <c r="A87" t="s">
        <v>647</v>
      </c>
      <c r="B87" s="32"/>
      <c r="C87" s="32"/>
      <c r="D87" s="27">
        <v>0.384</v>
      </c>
      <c r="I87" s="28"/>
      <c r="K87" s="32"/>
      <c r="N87" s="28"/>
      <c r="O87" s="28"/>
    </row>
    <row r="88" customFormat="1" spans="1:15">
      <c r="A88" t="s">
        <v>648</v>
      </c>
      <c r="B88" s="32"/>
      <c r="C88" s="32"/>
      <c r="D88" s="27">
        <v>0.672</v>
      </c>
      <c r="I88" s="28"/>
      <c r="K88" s="32"/>
      <c r="N88" s="28"/>
      <c r="O88" s="28"/>
    </row>
    <row r="89" customFormat="1" spans="1:15">
      <c r="A89" t="s">
        <v>649</v>
      </c>
      <c r="B89" s="32"/>
      <c r="C89" s="32">
        <v>0.2</v>
      </c>
      <c r="D89" s="27"/>
      <c r="I89" s="28"/>
      <c r="K89" s="32"/>
      <c r="N89" s="28"/>
      <c r="O89" s="28"/>
    </row>
    <row r="90" customFormat="1" spans="1:15">
      <c r="A90" t="s">
        <v>650</v>
      </c>
      <c r="B90" s="32"/>
      <c r="C90" s="32">
        <v>0.3</v>
      </c>
      <c r="D90" s="27"/>
      <c r="I90" s="28"/>
      <c r="K90" s="32"/>
      <c r="N90" s="28"/>
      <c r="O90" s="28"/>
    </row>
    <row r="91" customFormat="1" spans="1:15">
      <c r="A91" t="s">
        <v>651</v>
      </c>
      <c r="B91" s="32"/>
      <c r="C91" s="32">
        <v>0.4</v>
      </c>
      <c r="D91" s="27"/>
      <c r="I91" s="28"/>
      <c r="N91" s="28"/>
      <c r="O91" s="28"/>
    </row>
    <row r="92" customFormat="1" spans="1:15">
      <c r="A92" t="s">
        <v>652</v>
      </c>
      <c r="B92" s="32"/>
      <c r="C92" s="32">
        <v>0.6</v>
      </c>
      <c r="D92" s="27"/>
      <c r="I92" s="28"/>
      <c r="N92" s="28"/>
      <c r="O92" s="28"/>
    </row>
    <row r="93" customFormat="1" spans="1:15">
      <c r="A93" t="s">
        <v>653</v>
      </c>
      <c r="B93" s="32"/>
      <c r="C93" s="32"/>
      <c r="D93" s="27"/>
      <c r="I93" s="28"/>
      <c r="N93" s="28"/>
      <c r="O93" s="28"/>
    </row>
    <row r="94" customFormat="1" spans="1:15">
      <c r="A94" t="s">
        <v>654</v>
      </c>
      <c r="B94" s="32">
        <v>0.03</v>
      </c>
      <c r="C94" s="32"/>
      <c r="D94" s="27"/>
      <c r="I94" s="28"/>
      <c r="N94" s="28"/>
      <c r="O94" s="28"/>
    </row>
    <row r="95" customFormat="1" spans="1:15">
      <c r="A95" t="s">
        <v>655</v>
      </c>
      <c r="B95" s="32">
        <v>0.06</v>
      </c>
      <c r="C95" s="32"/>
      <c r="D95" s="27"/>
      <c r="I95" s="28"/>
      <c r="N95" s="28"/>
      <c r="O95" s="28"/>
    </row>
    <row r="96" customFormat="1" spans="1:15">
      <c r="A96" t="s">
        <v>656</v>
      </c>
      <c r="B96" s="32">
        <v>0.09</v>
      </c>
      <c r="C96" s="32"/>
      <c r="D96" s="27"/>
      <c r="I96" s="28"/>
      <c r="N96" s="28"/>
      <c r="O96" s="28"/>
    </row>
    <row r="97" customFormat="1" spans="1:15">
      <c r="A97" t="s">
        <v>657</v>
      </c>
      <c r="B97" s="32">
        <v>0.12</v>
      </c>
      <c r="C97" s="32"/>
      <c r="D97" s="27"/>
      <c r="I97" s="28"/>
      <c r="N97" s="28"/>
      <c r="O97" s="28"/>
    </row>
    <row r="98" customFormat="1" spans="1:15">
      <c r="A98" t="s">
        <v>658</v>
      </c>
      <c r="B98" s="32">
        <v>0.15</v>
      </c>
      <c r="C98" s="32"/>
      <c r="D98" s="27"/>
      <c r="I98" s="28"/>
      <c r="N98" s="28"/>
      <c r="O98" s="28"/>
    </row>
    <row r="99" customFormat="1" spans="1:15">
      <c r="A99" t="s">
        <v>659</v>
      </c>
      <c r="B99" s="32">
        <v>0.18</v>
      </c>
      <c r="C99" s="32"/>
      <c r="D99" s="27"/>
      <c r="I99" s="28"/>
      <c r="N99" s="28"/>
      <c r="O99" s="28"/>
    </row>
    <row r="100" customFormat="1" spans="1:15">
      <c r="A100" t="s">
        <v>660</v>
      </c>
      <c r="B100" s="32">
        <v>0.21</v>
      </c>
      <c r="C100" s="32"/>
      <c r="D100" s="27"/>
      <c r="I100" s="28"/>
      <c r="N100" s="28"/>
      <c r="O100" s="28"/>
    </row>
    <row r="101" customFormat="1" spans="1:15">
      <c r="A101" t="s">
        <v>661</v>
      </c>
      <c r="B101" s="32">
        <v>0.24</v>
      </c>
      <c r="C101" s="32"/>
      <c r="D101" s="27"/>
      <c r="I101" s="28"/>
      <c r="N101" s="28"/>
      <c r="O101" s="28"/>
    </row>
    <row r="102" customFormat="1" spans="1:15">
      <c r="A102" t="s">
        <v>662</v>
      </c>
      <c r="B102" s="32">
        <v>0.27</v>
      </c>
      <c r="C102" s="32"/>
      <c r="D102" s="27"/>
      <c r="I102" s="28"/>
      <c r="N102" s="28"/>
      <c r="O102" s="28"/>
    </row>
    <row r="103" customFormat="1" spans="1:15">
      <c r="A103" t="s">
        <v>663</v>
      </c>
      <c r="B103" s="32"/>
      <c r="C103" s="32">
        <v>0.3</v>
      </c>
      <c r="D103" s="27"/>
      <c r="I103" s="28"/>
      <c r="N103" s="28">
        <v>0.1</v>
      </c>
      <c r="O103" s="28"/>
    </row>
    <row r="104" customFormat="1" spans="1:15">
      <c r="A104" t="s">
        <v>664</v>
      </c>
      <c r="B104" s="32">
        <v>0.03</v>
      </c>
      <c r="C104" s="32">
        <v>0.3</v>
      </c>
      <c r="D104" s="27"/>
      <c r="I104" s="28"/>
      <c r="N104" s="28">
        <v>0.1</v>
      </c>
      <c r="O104" s="28"/>
    </row>
    <row r="105" customFormat="1" spans="1:15">
      <c r="A105" t="s">
        <v>665</v>
      </c>
      <c r="B105" s="32">
        <v>0.06</v>
      </c>
      <c r="C105" s="32">
        <v>0.3</v>
      </c>
      <c r="D105" s="27"/>
      <c r="I105" s="28"/>
      <c r="N105" s="28">
        <v>0.1</v>
      </c>
      <c r="O105" s="28"/>
    </row>
    <row r="106" customFormat="1" spans="1:15">
      <c r="A106" t="s">
        <v>666</v>
      </c>
      <c r="B106" s="32">
        <v>0.09</v>
      </c>
      <c r="C106" s="32">
        <v>0.3</v>
      </c>
      <c r="D106" s="27"/>
      <c r="I106" s="28"/>
      <c r="N106" s="28">
        <v>0.1</v>
      </c>
      <c r="O106" s="28"/>
    </row>
    <row r="107" customFormat="1" spans="1:15">
      <c r="A107" t="s">
        <v>667</v>
      </c>
      <c r="B107" s="32">
        <v>0.12</v>
      </c>
      <c r="C107" s="32">
        <v>0.3</v>
      </c>
      <c r="D107" s="27"/>
      <c r="I107" s="28"/>
      <c r="N107" s="28">
        <v>0.1</v>
      </c>
      <c r="O107" s="28"/>
    </row>
    <row r="108" customFormat="1" spans="1:15">
      <c r="A108" t="s">
        <v>668</v>
      </c>
      <c r="B108" s="32">
        <v>0.15</v>
      </c>
      <c r="C108" s="32">
        <v>0.3</v>
      </c>
      <c r="D108" s="27"/>
      <c r="I108" s="28"/>
      <c r="N108" s="28">
        <v>0.1</v>
      </c>
      <c r="O108" s="28"/>
    </row>
    <row r="109" customFormat="1" spans="1:15">
      <c r="A109" t="s">
        <v>669</v>
      </c>
      <c r="B109" s="32">
        <v>0.18</v>
      </c>
      <c r="C109" s="32">
        <v>0.3</v>
      </c>
      <c r="D109" s="27"/>
      <c r="I109" s="28"/>
      <c r="N109" s="28">
        <v>0.1</v>
      </c>
      <c r="O109" s="28"/>
    </row>
    <row r="110" customFormat="1" spans="1:15">
      <c r="A110" t="s">
        <v>670</v>
      </c>
      <c r="B110" s="32">
        <v>0.21</v>
      </c>
      <c r="C110" s="32">
        <v>0.3</v>
      </c>
      <c r="D110" s="27"/>
      <c r="I110" s="28"/>
      <c r="N110" s="28">
        <v>0.1</v>
      </c>
      <c r="O110" s="28"/>
    </row>
    <row r="111" customFormat="1" spans="1:15">
      <c r="A111" t="s">
        <v>671</v>
      </c>
      <c r="B111" s="32">
        <v>0.24</v>
      </c>
      <c r="C111" s="32">
        <v>0.3</v>
      </c>
      <c r="D111" s="27"/>
      <c r="I111" s="28"/>
      <c r="N111" s="28">
        <v>0.1</v>
      </c>
      <c r="O111" s="28"/>
    </row>
    <row r="112" customFormat="1" spans="1:15">
      <c r="A112" t="s">
        <v>672</v>
      </c>
      <c r="B112" s="32">
        <v>0.27</v>
      </c>
      <c r="C112" s="32">
        <v>0.3</v>
      </c>
      <c r="D112" s="27"/>
      <c r="I112" s="28"/>
      <c r="N112" s="28">
        <v>0.1</v>
      </c>
      <c r="O112" s="28"/>
    </row>
    <row r="113" customFormat="1" spans="1:15">
      <c r="A113" t="s">
        <v>673</v>
      </c>
      <c r="B113" s="32">
        <v>0.3</v>
      </c>
      <c r="C113" s="32">
        <v>0.6</v>
      </c>
      <c r="D113" s="27"/>
      <c r="I113" s="28"/>
      <c r="N113" s="28"/>
      <c r="O113" s="28"/>
    </row>
    <row r="114" customFormat="1" spans="1:15">
      <c r="A114" t="s">
        <v>674</v>
      </c>
      <c r="B114" s="32">
        <v>0.3</v>
      </c>
      <c r="C114" s="32">
        <v>0.9</v>
      </c>
      <c r="D114" s="27"/>
      <c r="I114" s="28"/>
      <c r="N114" s="28">
        <v>0.1</v>
      </c>
      <c r="O114" s="28"/>
    </row>
    <row r="115" customFormat="1" spans="1:15">
      <c r="A115" t="s">
        <v>675</v>
      </c>
      <c r="B115" s="32"/>
      <c r="C115" s="32"/>
      <c r="D115" s="27">
        <v>0.5</v>
      </c>
      <c r="I115" s="28"/>
      <c r="N115" s="28"/>
      <c r="O115" s="28"/>
    </row>
    <row r="116" customFormat="1" spans="1:15">
      <c r="A116" t="s">
        <v>676</v>
      </c>
      <c r="B116" s="32"/>
      <c r="D116" s="27">
        <v>0.576</v>
      </c>
      <c r="H116" s="32"/>
      <c r="I116" s="28"/>
      <c r="N116" s="28"/>
      <c r="O116" s="28"/>
    </row>
    <row r="117" customFormat="1" spans="1:15">
      <c r="A117" t="s">
        <v>677</v>
      </c>
      <c r="B117" s="32"/>
      <c r="D117" s="27">
        <v>1.008</v>
      </c>
      <c r="H117" s="32"/>
      <c r="I117" s="28"/>
      <c r="N117" s="28"/>
      <c r="O117" s="28"/>
    </row>
    <row r="118" customFormat="1" spans="1:15">
      <c r="A118" t="s">
        <v>678</v>
      </c>
      <c r="B118" s="32"/>
      <c r="D118" s="27"/>
      <c r="H118" s="32">
        <v>0.33</v>
      </c>
      <c r="I118" s="28"/>
      <c r="N118" s="28"/>
      <c r="O118" s="28"/>
    </row>
    <row r="119" customFormat="1" spans="1:15">
      <c r="A119" t="s">
        <v>679</v>
      </c>
      <c r="B119" s="32"/>
      <c r="D119" s="27"/>
      <c r="H119" s="32">
        <v>0.36</v>
      </c>
      <c r="I119" s="28"/>
      <c r="N119" s="28"/>
      <c r="O119" s="28"/>
    </row>
    <row r="120" customFormat="1" spans="1:15">
      <c r="A120" t="s">
        <v>680</v>
      </c>
      <c r="B120" s="32"/>
      <c r="D120" s="27"/>
      <c r="H120" s="32">
        <v>0.39</v>
      </c>
      <c r="I120" s="28"/>
      <c r="N120" s="28"/>
      <c r="O120" s="28"/>
    </row>
    <row r="121" customFormat="1" spans="1:15">
      <c r="A121" t="s">
        <v>681</v>
      </c>
      <c r="B121" s="32"/>
      <c r="D121" s="27"/>
      <c r="H121" s="32">
        <v>0.42</v>
      </c>
      <c r="I121" s="28"/>
      <c r="N121" s="28"/>
      <c r="O121" s="28"/>
    </row>
    <row r="122" customFormat="1" spans="1:15">
      <c r="A122" t="s">
        <v>682</v>
      </c>
      <c r="B122" s="32"/>
      <c r="D122" s="27"/>
      <c r="H122" s="32">
        <v>0.42</v>
      </c>
      <c r="I122" s="28"/>
      <c r="N122" s="28"/>
      <c r="O122" s="28"/>
    </row>
    <row r="123" customFormat="1" spans="1:15">
      <c r="A123" t="s">
        <v>683</v>
      </c>
      <c r="B123" s="32"/>
      <c r="D123" s="27"/>
      <c r="G123" s="28">
        <v>0.2</v>
      </c>
      <c r="I123" s="28"/>
      <c r="N123" s="28"/>
      <c r="O123" s="28"/>
    </row>
    <row r="124" customFormat="1" spans="1:15">
      <c r="A124" t="s">
        <v>684</v>
      </c>
      <c r="B124" s="32"/>
      <c r="D124" s="27"/>
      <c r="G124" s="28">
        <v>0.433</v>
      </c>
      <c r="I124" s="28"/>
      <c r="N124" s="28"/>
      <c r="O124" s="28"/>
    </row>
    <row r="125" customFormat="1" spans="1:15">
      <c r="A125" t="s">
        <v>685</v>
      </c>
      <c r="B125" s="32"/>
      <c r="D125" s="27"/>
      <c r="G125" s="28">
        <v>0.633</v>
      </c>
      <c r="I125" s="28"/>
      <c r="N125" s="28"/>
      <c r="O125" s="28"/>
    </row>
    <row r="126" customFormat="1" spans="1:15">
      <c r="A126" t="s">
        <v>686</v>
      </c>
      <c r="B126" s="32"/>
      <c r="D126" s="27"/>
      <c r="G126" s="28"/>
      <c r="H126" s="32"/>
      <c r="I126" s="28">
        <v>0.1</v>
      </c>
      <c r="N126" s="28"/>
      <c r="O126" s="28"/>
    </row>
    <row r="127" customFormat="1" spans="1:15">
      <c r="A127" t="s">
        <v>687</v>
      </c>
      <c r="B127" s="32"/>
      <c r="D127" s="27"/>
      <c r="G127" s="28"/>
      <c r="H127" s="32">
        <v>0.2</v>
      </c>
      <c r="I127" s="28"/>
      <c r="N127" s="28"/>
      <c r="O127" s="28"/>
    </row>
    <row r="128" customFormat="1" spans="1:15">
      <c r="A128" t="s">
        <v>688</v>
      </c>
      <c r="B128" s="32"/>
      <c r="D128" s="27"/>
      <c r="G128" s="28"/>
      <c r="H128" s="32">
        <v>0.12</v>
      </c>
      <c r="I128" s="28"/>
      <c r="N128" s="28"/>
      <c r="O128" s="28"/>
    </row>
    <row r="129" customFormat="1" spans="1:15">
      <c r="A129" t="s">
        <v>689</v>
      </c>
      <c r="B129" s="32"/>
      <c r="D129" s="27"/>
      <c r="G129" s="28"/>
      <c r="H129" s="32">
        <v>0.16</v>
      </c>
      <c r="I129" s="28"/>
      <c r="N129" s="28"/>
      <c r="O129" s="28"/>
    </row>
    <row r="130" customFormat="1" spans="1:15">
      <c r="A130" t="s">
        <v>690</v>
      </c>
      <c r="B130" s="32"/>
      <c r="D130" s="27"/>
      <c r="H130" s="32">
        <v>0.15</v>
      </c>
      <c r="I130" s="28"/>
      <c r="N130" s="28"/>
      <c r="O130" s="28"/>
    </row>
    <row r="131" customFormat="1" spans="1:15">
      <c r="A131" t="s">
        <v>691</v>
      </c>
      <c r="B131" s="32"/>
      <c r="D131" s="27"/>
      <c r="H131" s="32">
        <v>0.1</v>
      </c>
      <c r="I131" s="28"/>
      <c r="N131" s="28"/>
      <c r="O131" s="28"/>
    </row>
    <row r="132" customFormat="1" spans="1:15">
      <c r="A132" t="s">
        <v>692</v>
      </c>
      <c r="B132" s="32"/>
      <c r="D132" s="27"/>
      <c r="I132" s="28">
        <v>0.34</v>
      </c>
      <c r="N132" s="28"/>
      <c r="O132" s="28"/>
    </row>
    <row r="133" customFormat="1" spans="1:15">
      <c r="A133" t="s">
        <v>693</v>
      </c>
      <c r="B133" s="32"/>
      <c r="D133" s="27"/>
      <c r="I133" s="28">
        <v>0.42</v>
      </c>
      <c r="N133" s="28"/>
      <c r="O133" s="28"/>
    </row>
    <row r="134" customFormat="1" spans="1:15">
      <c r="A134" t="s">
        <v>694</v>
      </c>
      <c r="B134" s="32"/>
      <c r="D134" s="27"/>
      <c r="G134" s="32">
        <v>0.27</v>
      </c>
      <c r="I134" s="28"/>
      <c r="N134" s="28"/>
      <c r="O134" s="28"/>
    </row>
    <row r="135" customFormat="1" spans="1:15">
      <c r="A135" t="s">
        <v>695</v>
      </c>
      <c r="B135" s="32"/>
      <c r="D135" s="27"/>
      <c r="G135" s="32">
        <v>0.36</v>
      </c>
      <c r="I135" s="28"/>
      <c r="N135" s="28"/>
      <c r="O135" s="28"/>
    </row>
    <row r="136" customFormat="1" spans="1:15">
      <c r="A136" t="s">
        <v>696</v>
      </c>
      <c r="B136" s="32"/>
      <c r="D136" s="27"/>
      <c r="G136" s="32">
        <v>0.21</v>
      </c>
      <c r="I136" s="28"/>
      <c r="N136" s="28"/>
      <c r="O136" s="28"/>
    </row>
    <row r="137" customFormat="1" spans="1:15">
      <c r="A137" t="s">
        <v>697</v>
      </c>
      <c r="B137" s="32"/>
      <c r="D137" s="27"/>
      <c r="G137" s="32">
        <v>0.24</v>
      </c>
      <c r="I137" s="28"/>
      <c r="N137" s="28"/>
      <c r="O137" s="28"/>
    </row>
    <row r="138" customFormat="1" spans="1:15">
      <c r="A138" t="s">
        <v>698</v>
      </c>
      <c r="B138" s="32"/>
      <c r="D138" s="27"/>
      <c r="G138" s="32">
        <v>0.24</v>
      </c>
      <c r="I138" s="28"/>
      <c r="N138" s="28"/>
      <c r="O138" s="28"/>
    </row>
    <row r="139" customFormat="1" spans="1:15">
      <c r="A139" t="s">
        <v>699</v>
      </c>
      <c r="B139" s="32"/>
      <c r="D139" s="27"/>
      <c r="G139" s="32">
        <v>0.3</v>
      </c>
      <c r="I139" s="28"/>
      <c r="N139" s="28"/>
      <c r="O139" s="28"/>
    </row>
    <row r="140" customFormat="1" spans="1:15">
      <c r="A140" t="s">
        <v>700</v>
      </c>
      <c r="B140" s="32"/>
      <c r="D140" s="27"/>
      <c r="G140" s="32">
        <v>0.2</v>
      </c>
      <c r="I140" s="28"/>
      <c r="K140" s="32"/>
      <c r="N140" s="28"/>
      <c r="O140" s="28"/>
    </row>
    <row r="141" customFormat="1" spans="1:15">
      <c r="A141" t="s">
        <v>701</v>
      </c>
      <c r="B141" s="32"/>
      <c r="D141" s="27"/>
      <c r="G141" s="32">
        <v>0.22</v>
      </c>
      <c r="I141" s="28"/>
      <c r="K141" s="32"/>
      <c r="N141" s="28"/>
      <c r="O141" s="28"/>
    </row>
    <row r="142" customFormat="1" spans="1:15">
      <c r="A142" t="s">
        <v>702</v>
      </c>
      <c r="B142" s="32"/>
      <c r="D142" s="27"/>
      <c r="G142" s="32">
        <v>0.24</v>
      </c>
      <c r="I142" s="28"/>
      <c r="K142" s="32"/>
      <c r="N142" s="28"/>
      <c r="O142" s="28"/>
    </row>
    <row r="143" customFormat="1" spans="1:15">
      <c r="A143" t="s">
        <v>703</v>
      </c>
      <c r="B143" s="32"/>
      <c r="D143" s="27"/>
      <c r="G143" s="32">
        <v>0.26</v>
      </c>
      <c r="I143" s="28"/>
      <c r="K143" s="32"/>
      <c r="N143" s="28"/>
      <c r="O143" s="28"/>
    </row>
    <row r="144" customFormat="1" spans="1:15">
      <c r="A144" t="s">
        <v>704</v>
      </c>
      <c r="B144" s="32"/>
      <c r="D144" s="27"/>
      <c r="G144" s="32">
        <v>0.28</v>
      </c>
      <c r="I144" s="28"/>
      <c r="K144" s="32"/>
      <c r="N144" s="28"/>
      <c r="O144" s="28"/>
    </row>
    <row r="145" customFormat="1" spans="1:15">
      <c r="A145" t="s">
        <v>705</v>
      </c>
      <c r="B145" s="32"/>
      <c r="D145" s="27"/>
      <c r="G145" s="32">
        <v>0.3</v>
      </c>
      <c r="I145" s="28"/>
      <c r="K145" s="32"/>
      <c r="N145" s="28"/>
      <c r="O145" s="28"/>
    </row>
    <row r="146" customFormat="1" spans="1:15">
      <c r="A146" t="s">
        <v>706</v>
      </c>
      <c r="B146" s="32"/>
      <c r="D146" s="27"/>
      <c r="G146" s="32">
        <v>0.32</v>
      </c>
      <c r="I146" s="28"/>
      <c r="K146" s="32"/>
      <c r="N146" s="28"/>
      <c r="O146" s="28"/>
    </row>
    <row r="147" customFormat="1" spans="1:15">
      <c r="A147" t="s">
        <v>707</v>
      </c>
      <c r="B147" s="32"/>
      <c r="D147" s="27"/>
      <c r="G147" s="32">
        <v>0.34</v>
      </c>
      <c r="I147" s="28"/>
      <c r="K147" s="32"/>
      <c r="N147" s="28"/>
      <c r="O147" s="28"/>
    </row>
    <row r="148" customFormat="1" spans="1:15">
      <c r="A148" t="s">
        <v>708</v>
      </c>
      <c r="B148" s="32"/>
      <c r="D148" s="27"/>
      <c r="G148" s="32">
        <v>0.36</v>
      </c>
      <c r="I148" s="28"/>
      <c r="K148" s="32"/>
      <c r="N148" s="28"/>
      <c r="O148" s="28"/>
    </row>
    <row r="149" customFormat="1" spans="1:15">
      <c r="A149" t="s">
        <v>709</v>
      </c>
      <c r="B149" s="32"/>
      <c r="D149" s="27"/>
      <c r="I149" s="28"/>
      <c r="K149" s="32">
        <v>0.15</v>
      </c>
      <c r="N149" s="28"/>
      <c r="O149" s="28"/>
    </row>
    <row r="150" customFormat="1" spans="1:15">
      <c r="A150" t="s">
        <v>710</v>
      </c>
      <c r="B150" s="32"/>
      <c r="D150" s="27"/>
      <c r="I150" s="28">
        <v>0.12</v>
      </c>
      <c r="N150" s="28"/>
      <c r="O150" s="28"/>
    </row>
    <row r="151" customFormat="1" spans="1:15">
      <c r="A151" t="s">
        <v>711</v>
      </c>
      <c r="B151" s="32"/>
      <c r="D151" s="27"/>
      <c r="I151" s="28">
        <v>0.16</v>
      </c>
      <c r="N151" s="28"/>
      <c r="O151" s="28"/>
    </row>
    <row r="152" customFormat="1" spans="1:15">
      <c r="A152" t="s">
        <v>712</v>
      </c>
      <c r="B152" s="32"/>
      <c r="D152" s="27"/>
      <c r="I152" s="28">
        <v>0.2</v>
      </c>
      <c r="N152" s="28"/>
      <c r="O152" s="28"/>
    </row>
    <row r="153" customFormat="1" spans="1:15">
      <c r="A153" t="s">
        <v>713</v>
      </c>
      <c r="B153" s="32"/>
      <c r="D153" s="27">
        <v>0.224</v>
      </c>
      <c r="I153" s="28"/>
      <c r="N153" s="28"/>
      <c r="O153" s="28"/>
    </row>
    <row r="154" customFormat="1" spans="1:15">
      <c r="A154" t="s">
        <v>714</v>
      </c>
      <c r="B154" s="32"/>
      <c r="D154" s="27">
        <v>0.32</v>
      </c>
      <c r="I154" s="28"/>
      <c r="N154" s="28"/>
      <c r="O154" s="28"/>
    </row>
    <row r="155" customFormat="1" spans="1:15">
      <c r="A155" t="s">
        <v>715</v>
      </c>
      <c r="B155" s="32"/>
      <c r="D155" s="27">
        <v>0.56</v>
      </c>
      <c r="I155" s="28"/>
      <c r="N155" s="28"/>
      <c r="O155" s="28"/>
    </row>
    <row r="156" customFormat="1" spans="1:15">
      <c r="A156" t="s">
        <v>716</v>
      </c>
      <c r="B156" s="32"/>
      <c r="D156" s="27">
        <v>0.64</v>
      </c>
      <c r="I156" s="28"/>
      <c r="N156" s="28"/>
      <c r="O156" s="28"/>
    </row>
    <row r="157" customFormat="1" spans="1:15">
      <c r="A157" t="s">
        <v>717</v>
      </c>
      <c r="B157" s="32"/>
      <c r="D157" s="27">
        <v>1.12</v>
      </c>
      <c r="I157" s="28"/>
      <c r="N157" s="28"/>
      <c r="O157" s="28"/>
    </row>
    <row r="158" customFormat="1" spans="1:15">
      <c r="A158" t="s">
        <v>718</v>
      </c>
      <c r="B158" s="32"/>
      <c r="D158" s="27">
        <v>0.64</v>
      </c>
      <c r="I158" s="28"/>
      <c r="N158" s="28"/>
      <c r="O158" s="28"/>
    </row>
    <row r="159" customFormat="1" spans="1:15">
      <c r="A159" t="s">
        <v>719</v>
      </c>
      <c r="B159" s="32"/>
      <c r="D159" s="27">
        <v>1.12</v>
      </c>
      <c r="I159" s="28"/>
      <c r="N159" s="28"/>
      <c r="O159" s="28"/>
    </row>
    <row r="160" customFormat="1" spans="1:15">
      <c r="A160" t="s">
        <v>720</v>
      </c>
      <c r="B160" s="32"/>
      <c r="D160" s="27"/>
      <c r="H160" s="32">
        <v>0.1</v>
      </c>
      <c r="I160" s="28"/>
      <c r="N160" s="28"/>
      <c r="O160" s="28"/>
    </row>
    <row r="161" customFormat="1" spans="1:15">
      <c r="A161" t="s">
        <v>721</v>
      </c>
      <c r="B161" s="32"/>
      <c r="D161" s="27"/>
      <c r="H161" s="32">
        <v>0.14</v>
      </c>
      <c r="I161" s="28"/>
      <c r="N161" s="28"/>
      <c r="O161" s="28"/>
    </row>
    <row r="162" customFormat="1" spans="1:15">
      <c r="A162" t="s">
        <v>722</v>
      </c>
      <c r="B162" s="32"/>
      <c r="D162" s="27"/>
      <c r="G162" s="32">
        <v>0.22</v>
      </c>
      <c r="H162"/>
      <c r="I162" s="28"/>
      <c r="N162" s="28"/>
      <c r="O162" s="28"/>
    </row>
    <row r="163" customFormat="1" spans="1:15">
      <c r="A163" t="s">
        <v>723</v>
      </c>
      <c r="B163" s="32"/>
      <c r="D163" s="27"/>
      <c r="H163" s="32">
        <v>0.3</v>
      </c>
      <c r="I163" s="28"/>
      <c r="N163" s="28"/>
      <c r="O163" s="28"/>
    </row>
    <row r="164" customFormat="1" spans="1:15">
      <c r="A164" t="s">
        <v>724</v>
      </c>
      <c r="B164" s="32">
        <v>0.05</v>
      </c>
      <c r="D164" s="27"/>
      <c r="I164" s="28"/>
      <c r="N164" s="28">
        <v>0.25</v>
      </c>
      <c r="O164" s="28"/>
    </row>
    <row r="165" customFormat="1" spans="1:15">
      <c r="A165" t="s">
        <v>725</v>
      </c>
      <c r="B165" s="32"/>
      <c r="D165" s="27"/>
      <c r="I165" s="28"/>
      <c r="N165" s="28">
        <v>0.05</v>
      </c>
      <c r="O165" s="28"/>
    </row>
    <row r="166" customFormat="1" spans="1:15">
      <c r="A166" t="s">
        <v>726</v>
      </c>
      <c r="D166" s="27">
        <v>0.5</v>
      </c>
      <c r="I166" s="28"/>
      <c r="N166" s="28"/>
      <c r="O166" s="28"/>
    </row>
    <row r="167" customFormat="1" spans="1:15">
      <c r="A167" t="s">
        <v>727</v>
      </c>
      <c r="D167" s="27">
        <v>0.5</v>
      </c>
      <c r="I167" s="28"/>
      <c r="N167" s="28"/>
      <c r="O167" s="28"/>
    </row>
    <row r="168" customFormat="1" spans="1:15">
      <c r="A168" t="s">
        <v>728</v>
      </c>
      <c r="D168" s="27">
        <v>0.16</v>
      </c>
      <c r="I168" s="28"/>
      <c r="N168" s="28"/>
      <c r="O168" s="28"/>
    </row>
    <row r="169" customFormat="1" spans="1:15">
      <c r="A169" t="s">
        <v>729</v>
      </c>
      <c r="D169" s="27">
        <v>0.35</v>
      </c>
      <c r="I169" s="28"/>
      <c r="N169" s="28"/>
      <c r="O169" s="28"/>
    </row>
    <row r="170" customFormat="1" spans="1:15">
      <c r="A170" t="s">
        <v>730</v>
      </c>
      <c r="D170" s="27"/>
      <c r="E170" s="32">
        <v>0.2</v>
      </c>
      <c r="I170" s="28"/>
      <c r="N170" s="28"/>
      <c r="O170" s="28"/>
    </row>
    <row r="171" customFormat="1" spans="1:15">
      <c r="A171" t="s">
        <v>731</v>
      </c>
      <c r="D171" s="27"/>
      <c r="E171" s="32">
        <v>0.4</v>
      </c>
      <c r="I171" s="28"/>
      <c r="N171" s="28"/>
      <c r="O171" s="28"/>
    </row>
    <row r="172" customFormat="1" spans="1:15">
      <c r="A172" t="s">
        <v>732</v>
      </c>
      <c r="D172" s="27"/>
      <c r="E172" s="32">
        <v>0.6</v>
      </c>
      <c r="I172" s="28"/>
      <c r="N172" s="28"/>
      <c r="O172" s="28"/>
    </row>
    <row r="173" customFormat="1" spans="1:15">
      <c r="A173" t="s">
        <v>733</v>
      </c>
      <c r="D173" s="27">
        <v>0.16</v>
      </c>
      <c r="I173" s="28"/>
      <c r="N173" s="28"/>
      <c r="O173" s="28"/>
    </row>
    <row r="174" customFormat="1" spans="1:15">
      <c r="A174" t="s">
        <v>734</v>
      </c>
      <c r="D174" s="27">
        <v>0.32</v>
      </c>
      <c r="E174" s="32"/>
      <c r="I174" s="28"/>
      <c r="N174" s="28"/>
      <c r="O174" s="28"/>
    </row>
    <row r="175" customFormat="1" spans="1:15">
      <c r="A175" t="s">
        <v>735</v>
      </c>
      <c r="D175" s="27"/>
      <c r="E175" s="32">
        <v>0.3</v>
      </c>
      <c r="I175" s="28"/>
      <c r="N175" s="28"/>
      <c r="O175" s="28"/>
    </row>
    <row r="176" customFormat="1" spans="1:15">
      <c r="A176" t="s">
        <v>736</v>
      </c>
      <c r="D176" s="27"/>
      <c r="E176" s="32">
        <v>0.6</v>
      </c>
      <c r="I176" s="28"/>
      <c r="N176" s="28"/>
      <c r="O176" s="28"/>
    </row>
    <row r="177" customFormat="1" spans="1:15">
      <c r="A177" t="s">
        <v>737</v>
      </c>
      <c r="D177" s="27">
        <v>0.15</v>
      </c>
      <c r="E177"/>
      <c r="I177" s="28"/>
      <c r="K177" s="28"/>
      <c r="N177" s="28"/>
      <c r="O177" s="28"/>
    </row>
    <row r="178" customFormat="1" spans="1:15">
      <c r="A178" t="s">
        <v>738</v>
      </c>
      <c r="D178" s="27">
        <v>0.3</v>
      </c>
      <c r="E178"/>
      <c r="I178" s="28"/>
      <c r="K178" s="28"/>
      <c r="N178" s="28"/>
      <c r="O178" s="28"/>
    </row>
    <row r="179" customFormat="1" spans="1:15">
      <c r="A179" t="s">
        <v>739</v>
      </c>
      <c r="D179" s="27">
        <v>0.45</v>
      </c>
      <c r="I179" s="28"/>
      <c r="K179" s="28"/>
      <c r="N179" s="28"/>
      <c r="O179" s="28"/>
    </row>
    <row r="180" customFormat="1" spans="1:15">
      <c r="A180" t="s">
        <v>740</v>
      </c>
      <c r="D180" s="27">
        <v>0.2</v>
      </c>
      <c r="I180" s="28"/>
      <c r="K180" s="28"/>
      <c r="N180" s="28"/>
      <c r="O180" s="28"/>
    </row>
    <row r="181" customFormat="1" spans="1:15">
      <c r="A181" t="s">
        <v>741</v>
      </c>
      <c r="D181" s="27">
        <v>0.4</v>
      </c>
      <c r="I181" s="28"/>
      <c r="K181" s="28"/>
      <c r="N181" s="28"/>
      <c r="O181" s="28"/>
    </row>
    <row r="182" customFormat="1" spans="1:15">
      <c r="A182" t="s">
        <v>742</v>
      </c>
      <c r="D182" s="27"/>
      <c r="I182" s="28"/>
      <c r="K182" s="28">
        <v>0.0776</v>
      </c>
      <c r="N182" s="28"/>
      <c r="O182" s="28"/>
    </row>
    <row r="183" customFormat="1" spans="1:15">
      <c r="A183" t="s">
        <v>743</v>
      </c>
      <c r="D183" s="27"/>
      <c r="I183" s="28"/>
      <c r="K183" s="28">
        <v>0.085</v>
      </c>
      <c r="N183" s="28"/>
      <c r="O183" s="28"/>
    </row>
    <row r="184" customFormat="1" spans="1:15">
      <c r="A184" t="s">
        <v>39</v>
      </c>
      <c r="D184" s="27">
        <v>0.27</v>
      </c>
      <c r="I184" s="28"/>
      <c r="N184" s="28"/>
      <c r="O184" s="28"/>
    </row>
    <row r="185" customFormat="1" spans="1:15">
      <c r="A185" t="s">
        <v>744</v>
      </c>
      <c r="D185" s="27">
        <v>0.36</v>
      </c>
      <c r="I185" s="28"/>
      <c r="N185" s="28"/>
      <c r="O185" s="28"/>
    </row>
    <row r="186" customFormat="1" spans="1:15">
      <c r="A186" t="s">
        <v>745</v>
      </c>
      <c r="D186" s="27"/>
      <c r="I186" s="28"/>
      <c r="N186" s="28">
        <v>0.06</v>
      </c>
      <c r="O186" s="28"/>
    </row>
    <row r="187" customFormat="1" spans="1:15">
      <c r="A187" t="s">
        <v>41</v>
      </c>
      <c r="D187" s="27"/>
      <c r="F187" s="32">
        <v>0.48</v>
      </c>
      <c r="I187" s="28"/>
      <c r="N187" s="28"/>
      <c r="O187" s="28"/>
    </row>
    <row r="188" customFormat="1" spans="1:15">
      <c r="A188" t="s">
        <v>746</v>
      </c>
      <c r="D188" s="27"/>
      <c r="F188" s="32">
        <v>0.84</v>
      </c>
      <c r="I188" s="28"/>
      <c r="N188" s="28"/>
      <c r="O188" s="28"/>
    </row>
    <row r="189" customFormat="1" spans="1:15">
      <c r="A189" t="s">
        <v>42</v>
      </c>
      <c r="D189" s="27">
        <v>0.288</v>
      </c>
      <c r="F189" s="32"/>
      <c r="I189" s="28"/>
      <c r="N189" s="28"/>
      <c r="O189" s="28"/>
    </row>
    <row r="190" customFormat="1" spans="1:15">
      <c r="A190" t="s">
        <v>747</v>
      </c>
      <c r="D190" s="27">
        <v>0.504</v>
      </c>
      <c r="F190" s="32"/>
      <c r="I190" s="28"/>
      <c r="N190" s="28"/>
      <c r="O190" s="28"/>
    </row>
    <row r="191" customFormat="1" spans="1:15">
      <c r="A191" t="s">
        <v>748</v>
      </c>
      <c r="D191" s="27">
        <v>0.336</v>
      </c>
      <c r="F191" s="32"/>
      <c r="I191" s="28"/>
      <c r="N191" s="28"/>
      <c r="O191" s="28"/>
    </row>
    <row r="192" customFormat="1" spans="1:15">
      <c r="A192" t="s">
        <v>749</v>
      </c>
      <c r="D192" s="27">
        <v>0.588</v>
      </c>
      <c r="F192" s="32"/>
      <c r="I192" s="28"/>
      <c r="N192" s="28"/>
      <c r="O192" s="28"/>
    </row>
    <row r="193" customFormat="1" spans="1:15">
      <c r="A193" t="s">
        <v>40</v>
      </c>
      <c r="D193" s="27"/>
      <c r="H193" s="32">
        <v>0.05</v>
      </c>
      <c r="I193" s="28"/>
      <c r="N193" s="28"/>
      <c r="O193" s="28"/>
    </row>
    <row r="194" customFormat="1" spans="1:15">
      <c r="A194" t="s">
        <v>750</v>
      </c>
      <c r="D194" s="27"/>
      <c r="H194" s="32">
        <v>0.1</v>
      </c>
      <c r="I194" s="28"/>
      <c r="N194" s="28"/>
      <c r="O194" s="28"/>
    </row>
    <row r="195" customFormat="1" spans="1:15">
      <c r="A195" t="s">
        <v>751</v>
      </c>
      <c r="D195" s="27">
        <v>0.154</v>
      </c>
      <c r="I195" s="28"/>
      <c r="N195" s="28"/>
      <c r="O195" s="28"/>
    </row>
    <row r="196" customFormat="1" spans="1:15">
      <c r="A196" t="s">
        <v>752</v>
      </c>
      <c r="D196" s="27">
        <v>0.308</v>
      </c>
      <c r="I196" s="28"/>
      <c r="N196" s="28"/>
      <c r="O196" s="28"/>
    </row>
    <row r="197" customFormat="1" spans="1:15">
      <c r="A197" t="s">
        <v>88</v>
      </c>
      <c r="D197" s="27">
        <v>0.462</v>
      </c>
      <c r="I197" s="28"/>
      <c r="N197" s="28"/>
      <c r="O197" s="28"/>
    </row>
    <row r="198" spans="1:15">
      <c r="A198" t="s">
        <v>43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D36" sqref="D36"/>
    </sheetView>
  </sheetViews>
  <sheetFormatPr defaultColWidth="9" defaultRowHeight="13.5" outlineLevelCol="2"/>
  <cols>
    <col min="3" max="3" width="56.875" customWidth="1"/>
  </cols>
  <sheetData>
    <row r="1" ht="14.25" spans="1:3">
      <c r="A1" s="1" t="s">
        <v>753</v>
      </c>
      <c r="B1" s="2"/>
      <c r="C1" s="3"/>
    </row>
    <row r="2" ht="14.25" spans="1:3">
      <c r="A2" s="4" t="s">
        <v>754</v>
      </c>
      <c r="B2" s="5" t="s">
        <v>755</v>
      </c>
      <c r="C2" s="6" t="s">
        <v>756</v>
      </c>
    </row>
    <row r="3" spans="1:3">
      <c r="A3" s="7">
        <v>0.1</v>
      </c>
      <c r="B3" s="5">
        <v>1</v>
      </c>
      <c r="C3" s="8" t="s">
        <v>757</v>
      </c>
    </row>
    <row r="4" spans="1:3">
      <c r="A4" s="9"/>
      <c r="B4">
        <v>2</v>
      </c>
      <c r="C4" s="10" t="s">
        <v>758</v>
      </c>
    </row>
    <row r="5" ht="14.25" spans="1:3">
      <c r="A5" s="11"/>
      <c r="B5" s="12">
        <v>3</v>
      </c>
      <c r="C5" s="13" t="s">
        <v>759</v>
      </c>
    </row>
    <row r="6" spans="1:3">
      <c r="A6" s="7">
        <v>0.2</v>
      </c>
      <c r="B6" s="5">
        <v>1</v>
      </c>
      <c r="C6" s="8" t="s">
        <v>760</v>
      </c>
    </row>
    <row r="7" ht="14.25" spans="1:3">
      <c r="A7" s="9"/>
      <c r="B7" s="14">
        <v>2</v>
      </c>
      <c r="C7" s="10" t="s">
        <v>761</v>
      </c>
    </row>
    <row r="8" spans="1:3">
      <c r="A8" s="7">
        <v>0.3</v>
      </c>
      <c r="B8" s="5">
        <v>1</v>
      </c>
      <c r="C8" s="8" t="s">
        <v>760</v>
      </c>
    </row>
    <row r="9" spans="1:3">
      <c r="A9" s="9"/>
      <c r="B9" s="14">
        <v>2</v>
      </c>
      <c r="C9" s="10" t="s">
        <v>761</v>
      </c>
    </row>
    <row r="10" ht="14.25" spans="1:3">
      <c r="A10" s="11"/>
      <c r="B10" s="12">
        <v>3</v>
      </c>
      <c r="C10" s="13" t="s">
        <v>762</v>
      </c>
    </row>
    <row r="11" ht="14.25" spans="1:3">
      <c r="A11" s="15">
        <v>0.4</v>
      </c>
      <c r="B11" s="16">
        <v>1</v>
      </c>
      <c r="C11" s="17" t="s">
        <v>763</v>
      </c>
    </row>
    <row r="12" ht="14.25" spans="1:3">
      <c r="A12" s="15">
        <v>0.5</v>
      </c>
      <c r="B12" s="16">
        <v>1</v>
      </c>
      <c r="C12" s="17" t="s">
        <v>764</v>
      </c>
    </row>
    <row r="13" spans="1:3">
      <c r="A13" s="7">
        <v>0.6</v>
      </c>
      <c r="B13" s="5">
        <v>1</v>
      </c>
      <c r="C13" s="8" t="s">
        <v>765</v>
      </c>
    </row>
    <row r="14" ht="14.25" spans="1:3">
      <c r="A14" s="11"/>
      <c r="B14" s="12">
        <v>2</v>
      </c>
      <c r="C14" s="13" t="s">
        <v>766</v>
      </c>
    </row>
    <row r="15" spans="1:3">
      <c r="A15" s="7">
        <v>0.7</v>
      </c>
      <c r="B15" s="5">
        <v>1</v>
      </c>
      <c r="C15" s="8" t="s">
        <v>767</v>
      </c>
    </row>
    <row r="16" ht="14.25" spans="1:3">
      <c r="A16" s="11"/>
      <c r="B16" s="12">
        <v>2</v>
      </c>
      <c r="C16" s="13" t="s">
        <v>768</v>
      </c>
    </row>
    <row r="17" ht="14.25" spans="1:3">
      <c r="A17" s="15">
        <v>0.8</v>
      </c>
      <c r="B17" s="16">
        <v>1</v>
      </c>
      <c r="C17" s="17" t="s">
        <v>769</v>
      </c>
    </row>
    <row r="18" ht="14.25" spans="1:3">
      <c r="A18" s="7">
        <v>0.9</v>
      </c>
      <c r="B18" s="5">
        <v>1</v>
      </c>
      <c r="C18" s="8" t="s">
        <v>770</v>
      </c>
    </row>
    <row r="19" spans="1:3">
      <c r="A19" s="18">
        <v>0.1</v>
      </c>
      <c r="B19" s="5">
        <v>1</v>
      </c>
      <c r="C19" s="8" t="s">
        <v>771</v>
      </c>
    </row>
    <row r="20" spans="1:3">
      <c r="A20" s="19"/>
      <c r="B20" s="14">
        <v>2</v>
      </c>
      <c r="C20" s="10" t="s">
        <v>766</v>
      </c>
    </row>
    <row r="21" ht="14.25" spans="1:3">
      <c r="A21" s="20"/>
      <c r="B21" s="12">
        <v>3</v>
      </c>
      <c r="C21" s="13" t="s">
        <v>772</v>
      </c>
    </row>
    <row r="22" spans="1:3">
      <c r="A22" s="7">
        <v>0.11</v>
      </c>
      <c r="B22" s="5">
        <v>1</v>
      </c>
      <c r="C22" s="8" t="s">
        <v>773</v>
      </c>
    </row>
    <row r="23" spans="1:3">
      <c r="A23" s="11"/>
      <c r="B23" s="12">
        <v>2</v>
      </c>
      <c r="C23" s="13" t="s">
        <v>774</v>
      </c>
    </row>
    <row r="24" spans="1:3">
      <c r="A24" s="21">
        <v>0.12</v>
      </c>
      <c r="B24" s="22">
        <v>1</v>
      </c>
      <c r="C24" s="23" t="s">
        <v>775</v>
      </c>
    </row>
    <row r="25" ht="14.25" spans="1:3">
      <c r="A25" s="24"/>
      <c r="B25" s="25">
        <v>2</v>
      </c>
      <c r="C25" s="26" t="s">
        <v>776</v>
      </c>
    </row>
  </sheetData>
  <mergeCells count="9">
    <mergeCell ref="A1:C1"/>
    <mergeCell ref="A3:A5"/>
    <mergeCell ref="A6:A7"/>
    <mergeCell ref="A8:A10"/>
    <mergeCell ref="A13:A14"/>
    <mergeCell ref="A15:A16"/>
    <mergeCell ref="A19:A21"/>
    <mergeCell ref="A22:A23"/>
    <mergeCell ref="A24:A25"/>
  </mergeCells>
  <hyperlinks>
    <hyperlink ref="A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期望1</vt:lpstr>
      <vt:lpstr>期望1 (2)</vt:lpstr>
      <vt:lpstr>干员属性</vt:lpstr>
      <vt:lpstr>武器属性</vt:lpstr>
      <vt:lpstr>护甲属性</vt:lpstr>
      <vt:lpstr>护手属性</vt:lpstr>
      <vt:lpstr>配件属性</vt:lpstr>
      <vt:lpstr>套装属性</vt:lpstr>
      <vt:lpstr>食物属性</vt:lpstr>
      <vt:lpstr>技能属性</vt:lpstr>
      <vt:lpstr>增益属性</vt:lpstr>
      <vt:lpstr>版本信息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2026-02-02T19:49:00Z</dcterms:created>
  <dcterms:modified xsi:type="dcterms:W3CDTF">2026-06-05T01:13:54Z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DC5EB9D7D78949789238C00FE9664D52_11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